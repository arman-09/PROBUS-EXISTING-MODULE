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harat.adhikary\Downloads\"/>
    </mc:Choice>
  </mc:AlternateContent>
  <xr:revisionPtr revIDLastSave="0" documentId="13_ncr:1_{6967FE61-D71A-4419-A5A4-A7D9846E2961}" xr6:coauthVersionLast="36" xr6:coauthVersionMax="36" xr10:uidLastSave="{00000000-0000-0000-0000-000000000000}"/>
  <bookViews>
    <workbookView xWindow="0" yWindow="0" windowWidth="19200" windowHeight="9330" xr2:uid="{00000000-000D-0000-FFFF-FFFF00000000}"/>
  </bookViews>
  <sheets>
    <sheet name="FeederMaster" sheetId="1" r:id="rId1"/>
    <sheet name="Sheet1" sheetId="2" r:id="rId2"/>
  </sheets>
  <definedNames>
    <definedName name="_xlnm._FilterDatabase" localSheetId="0" hidden="1">FeederMaster!$A$1:$I$143</definedName>
    <definedName name="_xlnm._FilterDatabase" localSheetId="1" hidden="1">Sheet1!$A$2:$H$119</definedName>
  </definedNames>
  <calcPr calcId="191029"/>
</workbook>
</file>

<file path=xl/calcChain.xml><?xml version="1.0" encoding="utf-8"?>
<calcChain xmlns="http://schemas.openxmlformats.org/spreadsheetml/2006/main">
  <c r="I2" i="2" l="1"/>
  <c r="H2" i="2"/>
  <c r="H3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2" i="2"/>
</calcChain>
</file>

<file path=xl/sharedStrings.xml><?xml version="1.0" encoding="utf-8"?>
<sst xmlns="http://schemas.openxmlformats.org/spreadsheetml/2006/main" count="1364" uniqueCount="360">
  <si>
    <t>AssetCode</t>
  </si>
  <si>
    <t>CircleName</t>
  </si>
  <si>
    <t>DivisionName</t>
  </si>
  <si>
    <t>GssName</t>
  </si>
  <si>
    <t>FeederName</t>
  </si>
  <si>
    <t>FeederRating(A)</t>
  </si>
  <si>
    <t>VoltageRating(kV)</t>
  </si>
  <si>
    <t>FeederType</t>
  </si>
  <si>
    <t>FeederCode</t>
  </si>
  <si>
    <t>NES82825</t>
  </si>
  <si>
    <t>BARIPADA</t>
  </si>
  <si>
    <t>UED, Udala</t>
  </si>
  <si>
    <t>33 KV KAPTIPADA</t>
  </si>
  <si>
    <t>Non-Priority</t>
  </si>
  <si>
    <t>NES82730</t>
  </si>
  <si>
    <t>BALASORE</t>
  </si>
  <si>
    <t>CED, Balasore</t>
  </si>
  <si>
    <t>132/33 KV UDALA</t>
  </si>
  <si>
    <t>33 KV BERHAMPUR</t>
  </si>
  <si>
    <t>TPN61587</t>
  </si>
  <si>
    <t>BED, Balasore</t>
  </si>
  <si>
    <t>132/33 KV CHANDIPUR</t>
  </si>
  <si>
    <t>33KV SARAGAON FDR.</t>
  </si>
  <si>
    <t>TPN61742</t>
  </si>
  <si>
    <t>KEONJHAR</t>
  </si>
  <si>
    <t>JOED, Joda</t>
  </si>
  <si>
    <t>132/33 KV POLASPONGA</t>
  </si>
  <si>
    <t>33 KV JURUDI FDR.</t>
  </si>
  <si>
    <t>TPN60926</t>
  </si>
  <si>
    <t>JAJPUR</t>
  </si>
  <si>
    <t>JTED, Jajpur Town</t>
  </si>
  <si>
    <t>132/33 KV JAJPUR TOWN</t>
  </si>
  <si>
    <t>33KV BUS COUPLER</t>
  </si>
  <si>
    <t>NES51012</t>
  </si>
  <si>
    <t>NES51018</t>
  </si>
  <si>
    <t>NES51019</t>
  </si>
  <si>
    <t>NES51023</t>
  </si>
  <si>
    <t>NES82729</t>
  </si>
  <si>
    <t>NES82775</t>
  </si>
  <si>
    <t>NES82800</t>
  </si>
  <si>
    <t>NES82812</t>
  </si>
  <si>
    <t>NES82813</t>
  </si>
  <si>
    <t>NES82817</t>
  </si>
  <si>
    <t>NES82818</t>
  </si>
  <si>
    <t>NES83187</t>
  </si>
  <si>
    <t>NES83197</t>
  </si>
  <si>
    <t>NES83202</t>
  </si>
  <si>
    <t>NES83204</t>
  </si>
  <si>
    <t>NES83206</t>
  </si>
  <si>
    <t>NES83208</t>
  </si>
  <si>
    <t>NES83212</t>
  </si>
  <si>
    <t>NES83213</t>
  </si>
  <si>
    <t>NES83217</t>
  </si>
  <si>
    <t>NES83221</t>
  </si>
  <si>
    <t>NES83226</t>
  </si>
  <si>
    <t>NES83229</t>
  </si>
  <si>
    <t>NES83234</t>
  </si>
  <si>
    <t>NES83235</t>
  </si>
  <si>
    <t>NES83241</t>
  </si>
  <si>
    <t>NES83242</t>
  </si>
  <si>
    <t>NES83248</t>
  </si>
  <si>
    <t>NES83252</t>
  </si>
  <si>
    <t>NES83253</t>
  </si>
  <si>
    <t>NES83255</t>
  </si>
  <si>
    <t>NES83256</t>
  </si>
  <si>
    <t>NES83261</t>
  </si>
  <si>
    <t>NES83265</t>
  </si>
  <si>
    <t>NSC95199</t>
  </si>
  <si>
    <t>TPN60009</t>
  </si>
  <si>
    <t>TPN60012</t>
  </si>
  <si>
    <t>TPN60013</t>
  </si>
  <si>
    <t>TPN60091</t>
  </si>
  <si>
    <t>TPN60092</t>
  </si>
  <si>
    <t>TPN60093</t>
  </si>
  <si>
    <t>TPN60110</t>
  </si>
  <si>
    <t>TPN60266</t>
  </si>
  <si>
    <t>TPN60267</t>
  </si>
  <si>
    <t>TPN60268</t>
  </si>
  <si>
    <t>TPN60269</t>
  </si>
  <si>
    <t>TPN60284</t>
  </si>
  <si>
    <t>TPN60304</t>
  </si>
  <si>
    <t>TPN60305</t>
  </si>
  <si>
    <t>TPN60315</t>
  </si>
  <si>
    <t>TPN60334</t>
  </si>
  <si>
    <t>TPN60335</t>
  </si>
  <si>
    <t>TPN60491</t>
  </si>
  <si>
    <t>TPN60492</t>
  </si>
  <si>
    <t>TPN60493</t>
  </si>
  <si>
    <t>TPN60494</t>
  </si>
  <si>
    <t>TPN60533</t>
  </si>
  <si>
    <t>TPN60599</t>
  </si>
  <si>
    <t>TPN60638</t>
  </si>
  <si>
    <t>TPN60639</t>
  </si>
  <si>
    <t>TPN60642</t>
  </si>
  <si>
    <t>TPN60643</t>
  </si>
  <si>
    <t>TPN60668</t>
  </si>
  <si>
    <t>TPN60669</t>
  </si>
  <si>
    <t>TPN60814</t>
  </si>
  <si>
    <t>TPN60826</t>
  </si>
  <si>
    <t>TPN60851</t>
  </si>
  <si>
    <t>TPN61040</t>
  </si>
  <si>
    <t>TPN61060</t>
  </si>
  <si>
    <t>TPN61061</t>
  </si>
  <si>
    <t>TPN61062</t>
  </si>
  <si>
    <t>TPN61063</t>
  </si>
  <si>
    <t>TPN61064</t>
  </si>
  <si>
    <t>TPN61085</t>
  </si>
  <si>
    <t>TPN61117</t>
  </si>
  <si>
    <t>TPN61121</t>
  </si>
  <si>
    <t>TPN61122</t>
  </si>
  <si>
    <t>TPN61123</t>
  </si>
  <si>
    <t>TPN61142</t>
  </si>
  <si>
    <t>TPN61143</t>
  </si>
  <si>
    <t>TPN61176</t>
  </si>
  <si>
    <t>TPN61178</t>
  </si>
  <si>
    <t>TPN61179</t>
  </si>
  <si>
    <t>TPN61210</t>
  </si>
  <si>
    <t>TPN61211</t>
  </si>
  <si>
    <t>TPN61212</t>
  </si>
  <si>
    <t>TPN61214</t>
  </si>
  <si>
    <t>TPN61224</t>
  </si>
  <si>
    <t>TPN61245</t>
  </si>
  <si>
    <t>TPN61246</t>
  </si>
  <si>
    <t>TPN61248</t>
  </si>
  <si>
    <t>TPN61249</t>
  </si>
  <si>
    <t>TPN61405</t>
  </si>
  <si>
    <t>TPN61406</t>
  </si>
  <si>
    <t>TPN61430</t>
  </si>
  <si>
    <t>TPN61440</t>
  </si>
  <si>
    <t>TPN61444</t>
  </si>
  <si>
    <t>TPN61450</t>
  </si>
  <si>
    <t>TPN61451</t>
  </si>
  <si>
    <t>TPN61452</t>
  </si>
  <si>
    <t>TPN61453</t>
  </si>
  <si>
    <t>TPN61493</t>
  </si>
  <si>
    <t>TPN61501</t>
  </si>
  <si>
    <t>TPN61502</t>
  </si>
  <si>
    <t>TPN61503</t>
  </si>
  <si>
    <t>TPN61504</t>
  </si>
  <si>
    <t>TPN61519</t>
  </si>
  <si>
    <t>TPN61550</t>
  </si>
  <si>
    <t>TPN61568</t>
  </si>
  <si>
    <t>TPN61600</t>
  </si>
  <si>
    <t>TPN61609</t>
  </si>
  <si>
    <t>TPN61635</t>
  </si>
  <si>
    <t>TPN61655</t>
  </si>
  <si>
    <t>TPN61657</t>
  </si>
  <si>
    <t>TPN61658</t>
  </si>
  <si>
    <t>TPN61659</t>
  </si>
  <si>
    <t>TPN61707</t>
  </si>
  <si>
    <t>TPN61710</t>
  </si>
  <si>
    <t>TPN61745</t>
  </si>
  <si>
    <t>TPN61749</t>
  </si>
  <si>
    <t>TPN61773</t>
  </si>
  <si>
    <t>TPN61786</t>
  </si>
  <si>
    <t>TPN61787</t>
  </si>
  <si>
    <t>TPN61789</t>
  </si>
  <si>
    <t>TPN61800</t>
  </si>
  <si>
    <t>TPN61802</t>
  </si>
  <si>
    <t>TPN61803</t>
  </si>
  <si>
    <t>TPN61804</t>
  </si>
  <si>
    <t>TPN64429</t>
  </si>
  <si>
    <t>TPN64934</t>
  </si>
  <si>
    <t>TPN64946</t>
  </si>
  <si>
    <t>TPN64948</t>
  </si>
  <si>
    <t>TPN64949</t>
  </si>
  <si>
    <t>TPN64950</t>
  </si>
  <si>
    <t>TPN64952</t>
  </si>
  <si>
    <t>TPN64953</t>
  </si>
  <si>
    <t>TPN64954</t>
  </si>
  <si>
    <t>AED, Anandpur</t>
  </si>
  <si>
    <t>BPED, Baripada</t>
  </si>
  <si>
    <t>JED, Jaleswar</t>
  </si>
  <si>
    <t>KED, Keonjhar</t>
  </si>
  <si>
    <t>JRED, Jajpur Road</t>
  </si>
  <si>
    <t>RED, Rairangpur</t>
  </si>
  <si>
    <t>BHADRAK</t>
  </si>
  <si>
    <t>BNED, Bhadrak</t>
  </si>
  <si>
    <t>KUED, Kuakhia</t>
  </si>
  <si>
    <t>SED, Soro</t>
  </si>
  <si>
    <t>BSED, Bhadrak</t>
  </si>
  <si>
    <t>BTED, Basta</t>
  </si>
  <si>
    <t>132/33 KV ANANDPUR</t>
  </si>
  <si>
    <t>33 KV GHASIPURA FDR.</t>
  </si>
  <si>
    <t>33 KV ANANDPUR FDR.</t>
  </si>
  <si>
    <t>33 KV RAMACHANDRAPUR FDR.</t>
  </si>
  <si>
    <t>33 KV UDALA</t>
  </si>
  <si>
    <t>132/33 KV BETNOTI</t>
  </si>
  <si>
    <t>33 KV BADSHAI FDR.</t>
  </si>
  <si>
    <t>33 KV BETNOTI FDR.</t>
  </si>
  <si>
    <t>33 KV KHUNTA</t>
  </si>
  <si>
    <t>132/33 KV JALESWAR</t>
  </si>
  <si>
    <t>33 KV JALESWAR FDR.</t>
  </si>
  <si>
    <t>33 KV HATIGARH FDR.</t>
  </si>
  <si>
    <t>132/33 KV AGARPADA</t>
  </si>
  <si>
    <t>33 KV BISALPATA FDR.</t>
  </si>
  <si>
    <t>33 KV CHHENAPADI FDR.</t>
  </si>
  <si>
    <t>220/33 KV KEONJHAR RANKI GIS</t>
  </si>
  <si>
    <t>33KV KEONJHAR-I FDR.</t>
  </si>
  <si>
    <t>132/33 KV DHENKIKOTE / TIKIRA</t>
  </si>
  <si>
    <t>33 KV HARICHANDANPUR FDR.</t>
  </si>
  <si>
    <t>132/33 BARIPADA</t>
  </si>
  <si>
    <t>33 KV RAGHUNATHPUR FDR.</t>
  </si>
  <si>
    <t>33 KV CHHAYAL SINGH FDR.</t>
  </si>
  <si>
    <t>220/132/33 KV JODA</t>
  </si>
  <si>
    <t>33 KV BILEIPADA FDR.</t>
  </si>
  <si>
    <t>132/33 KV JAJPUR ROAD</t>
  </si>
  <si>
    <t>33 KV SALAKANA FDR.</t>
  </si>
  <si>
    <t>33 KV JUDIA</t>
  </si>
  <si>
    <t>33 KV DHENKIKOTE FDR.</t>
  </si>
  <si>
    <t>132/33 KV KARANJIA</t>
  </si>
  <si>
    <t>33 KV KARANJIA FDR.</t>
  </si>
  <si>
    <t>33 KV JASHIPUR FDR.</t>
  </si>
  <si>
    <t>132/33 KV BHOGRAI</t>
  </si>
  <si>
    <t>33 KV MEDICAL FDR.</t>
  </si>
  <si>
    <t>33 KV BETNOTI - II FDR.</t>
  </si>
  <si>
    <t>33KV KAMARDA NEW FEEDER</t>
  </si>
  <si>
    <t>132/33 KV CHANDABALI</t>
  </si>
  <si>
    <t>33 KV JASHIPUR (CHANDABALI ) FDR.</t>
  </si>
  <si>
    <t>33 KV KEONJHAR 3 (NARANPUR)</t>
  </si>
  <si>
    <t>33 KV BHOGRAI FDR.</t>
  </si>
  <si>
    <t>33 KV GHATAGAON FDR.</t>
  </si>
  <si>
    <t>33 KV KAMARDA FDR.</t>
  </si>
  <si>
    <t>33 KV KUAKHIA FDR.</t>
  </si>
  <si>
    <t>33 KV JAJPUR ROAD FDR.</t>
  </si>
  <si>
    <t>220/132/33 KV OLD DUBURI</t>
  </si>
  <si>
    <t>220/132/33 KV GOLABANDHA</t>
  </si>
  <si>
    <t>JAGMOHANPUR FDR</t>
  </si>
  <si>
    <t>TELKOI FDR.</t>
  </si>
  <si>
    <t>33 KV BIDYADHARPUR FDR.</t>
  </si>
  <si>
    <t>33 KV DAITRARY FDR.</t>
  </si>
  <si>
    <t>33 KV SUKINDA FDR.</t>
  </si>
  <si>
    <t>132/33 KV CHANDIKHOLE</t>
  </si>
  <si>
    <t>33 KV KABATBHANDA</t>
  </si>
  <si>
    <t>33 KV JARAKA</t>
  </si>
  <si>
    <t>33 KV PATANA FDR.</t>
  </si>
  <si>
    <t>132/33 KV SOMNATHPUR</t>
  </si>
  <si>
    <t>33 KV NEW NILGIRI FDR.</t>
  </si>
  <si>
    <t>132/33 KV SORO</t>
  </si>
  <si>
    <t>33 KV JAMUJHADI FDR.</t>
  </si>
  <si>
    <t>33 KV PANIKOLI FDR.</t>
  </si>
  <si>
    <t>33 KV JODA FDR.</t>
  </si>
  <si>
    <t>33KV BUS COUPLER(TRF-2&amp;4)</t>
  </si>
  <si>
    <t>132/33 KV BARBIL</t>
  </si>
  <si>
    <t>33 KV BARBIL -I FDR.</t>
  </si>
  <si>
    <t>33 KV BHADRASAHI FDR.</t>
  </si>
  <si>
    <t>33 KV BARBIL-II FDR.</t>
  </si>
  <si>
    <t>132/33 KV RAIRANGPUR</t>
  </si>
  <si>
    <t>33 KV BISOI FDR.</t>
  </si>
  <si>
    <t>33 KV GORUMAHISANI FDR.</t>
  </si>
  <si>
    <t>33 KV RAIRANGPUR FDR.</t>
  </si>
  <si>
    <t>33 KV KUSUMI FDR.</t>
  </si>
  <si>
    <t>33 KV BAHALDA FDR.</t>
  </si>
  <si>
    <t>220/132/33 KV BALIMUNDA</t>
  </si>
  <si>
    <t>33 KV DHAMARA FEEDER</t>
  </si>
  <si>
    <t>33 KV BIDEIPUR FEEDER</t>
  </si>
  <si>
    <t>33 KV SUKURULI FDR.</t>
  </si>
  <si>
    <t>33KV BARBIL-I FDR.</t>
  </si>
  <si>
    <t>33KV RUPSA FDR.</t>
  </si>
  <si>
    <t>33 KV GOPINATHPUR FDR.</t>
  </si>
  <si>
    <t>33 KV KHAIRA FDR.</t>
  </si>
  <si>
    <t>33 KV BAHANAGA FDR.</t>
  </si>
  <si>
    <t>33 KV BASUDEVPUR FDR.</t>
  </si>
  <si>
    <t>33 KV ORALI FDR.</t>
  </si>
  <si>
    <t>33 KV DHAMNAGAR FDR.</t>
  </si>
  <si>
    <t>33 KV BARTANA FDR.</t>
  </si>
  <si>
    <t>33KV CITY FDR.</t>
  </si>
  <si>
    <t>33KV EMAMI / MITRAPUR FDR.</t>
  </si>
  <si>
    <t>33 KV MEDICAL FEEDER</t>
  </si>
  <si>
    <t>33KV ODANGI FDR.</t>
  </si>
  <si>
    <t>33KV BALASORE NO. 1 FDR.</t>
  </si>
  <si>
    <t>132/33 KV BASTA</t>
  </si>
  <si>
    <t>33 KV JAMASULI FDR.</t>
  </si>
  <si>
    <t>33 KV BASTA FDR.</t>
  </si>
  <si>
    <t>33 KV BALIAPAL FDR.</t>
  </si>
  <si>
    <t>33KV SRIJANG FDR.</t>
  </si>
  <si>
    <t>33KV BALGOPALPUR FDR.</t>
  </si>
  <si>
    <t>33KV NILAGIRI FDR.</t>
  </si>
  <si>
    <t>33KV CHANDIPUR FDR.</t>
  </si>
  <si>
    <t>132/33 KV BANGRIPOSI</t>
  </si>
  <si>
    <t>33 KV BANGRIPOSI FDR.</t>
  </si>
  <si>
    <t>33 KV  SWADHINPADIA FDR.</t>
  </si>
  <si>
    <t>33KV BALASORE -2 FDR.</t>
  </si>
  <si>
    <t>33 KV SARAGACHIDA FDR.</t>
  </si>
  <si>
    <t>33 KV REMULI FDR.</t>
  </si>
  <si>
    <t>33 KV SIDDHESWAR FDR.</t>
  </si>
  <si>
    <t>33 KV ADHANGA FDR.</t>
  </si>
  <si>
    <t>33 KV BINJHARPUR FDR.</t>
  </si>
  <si>
    <t>33 KV JAJPUR TOWN FDR.</t>
  </si>
  <si>
    <t>33 KV MANGALPUR FDR.</t>
  </si>
  <si>
    <t>33 KV BARI FDR.</t>
  </si>
  <si>
    <t>33KV MEDICAL COLLAGE FDR.</t>
  </si>
  <si>
    <t>33 KV KEONJHAR EXPRESS FDR.</t>
  </si>
  <si>
    <t>33 KV KEONJHAR -II FDR.</t>
  </si>
  <si>
    <t>33 KV JHUMPURA FDR.</t>
  </si>
  <si>
    <t>33KV COAST CANEL FEEDER</t>
  </si>
  <si>
    <t>33 KV DHAMARA EXPRESS FDR.</t>
  </si>
  <si>
    <t>33 KV NOCCI FDR.</t>
  </si>
  <si>
    <t>33KV BUS COUPLER(TRF-5&amp;6)</t>
  </si>
  <si>
    <t>33 KV RAJGHAT FDR.</t>
  </si>
  <si>
    <t>220/132/33KV TURUMUNGA</t>
  </si>
  <si>
    <t>33KV TURUMUNGA FDR</t>
  </si>
  <si>
    <t>33KV KENDEIPOSI</t>
  </si>
  <si>
    <t>33 KV KHIRETANGIRI FDR</t>
  </si>
  <si>
    <t>33 KV CHANDABALI FDR</t>
  </si>
  <si>
    <t>33 KV SAMAKHUNTA FDR.</t>
  </si>
  <si>
    <t>33 KV BETNOTI- I FDR.</t>
  </si>
  <si>
    <t>33 KV CHANCHA(INDUSTRIAL) FDR.</t>
  </si>
  <si>
    <t>33KV STADIUM FEEDER</t>
  </si>
  <si>
    <t>33 KV SOLAR PLANT FDR.</t>
  </si>
  <si>
    <t>33 KV BARIPADA FDR.</t>
  </si>
  <si>
    <t>33 KV ITR FEEDER</t>
  </si>
  <si>
    <t>33 KV HIL FDR.[HT CONSUMER]</t>
  </si>
  <si>
    <t>33 KV NANDAPUR FDR.</t>
  </si>
  <si>
    <t>33 KV BHADRAK FDR.</t>
  </si>
  <si>
    <t>33 KV GOPINATHAPUR FDR.</t>
  </si>
  <si>
    <t>33 KV ASURALI FDR.</t>
  </si>
  <si>
    <t>33 KV SORO FDR.</t>
  </si>
  <si>
    <t>Priority</t>
  </si>
  <si>
    <t>-</t>
  </si>
  <si>
    <t>220/132/33 KV BHADRAK</t>
  </si>
  <si>
    <t>220/132/33 KV BALASORE</t>
  </si>
  <si>
    <t>Circle</t>
  </si>
  <si>
    <t>Division</t>
  </si>
  <si>
    <t>GSS</t>
  </si>
  <si>
    <t>Feeder</t>
  </si>
  <si>
    <t>Current carrying capacity (AMPs)</t>
  </si>
  <si>
    <t>Overload alert setting</t>
  </si>
  <si>
    <t>33 KV SARAGAON FDR.</t>
  </si>
  <si>
    <t>132/33 KV BARIPADA</t>
  </si>
  <si>
    <t>33 KV DHAMARA EXPRESS FDR</t>
  </si>
  <si>
    <t>33KV MEDICAL COLLEGE FDR.</t>
  </si>
  <si>
    <t>33 KVJHUMPURA FDR.</t>
  </si>
  <si>
    <t>33KV JHUMPURA FDR.</t>
  </si>
  <si>
    <t>33 KV SWADHINPADIA FDR.</t>
  </si>
  <si>
    <t>ANAND_BC01</t>
  </si>
  <si>
    <t>UDALA_BC01</t>
  </si>
  <si>
    <t>BETNO_BC01</t>
  </si>
  <si>
    <t>TIKIR_BC01</t>
  </si>
  <si>
    <t>BHOGR_BC01</t>
  </si>
  <si>
    <t>AGARP_BC01</t>
  </si>
  <si>
    <t>JRED_BC01</t>
  </si>
  <si>
    <t>GOLAB_BC01</t>
  </si>
  <si>
    <t>JODA_01</t>
  </si>
  <si>
    <t>BARBI_BC01</t>
  </si>
  <si>
    <t>RAIRA_BC01</t>
  </si>
  <si>
    <t>BALIM_BC01</t>
  </si>
  <si>
    <t>JTED_BC01</t>
  </si>
  <si>
    <t>CHANDI_BC01</t>
  </si>
  <si>
    <t>BALAS_BC01</t>
  </si>
  <si>
    <t>BANGR_BC01</t>
  </si>
  <si>
    <t>POLAS_BC01</t>
  </si>
  <si>
    <t>SOMNA_BC01</t>
  </si>
  <si>
    <t>BASTA_BC01</t>
  </si>
  <si>
    <t>TURUM_BC01</t>
  </si>
  <si>
    <t>JODA_02</t>
  </si>
  <si>
    <t>BARIP_BC01</t>
  </si>
  <si>
    <t>KARAN_BC01</t>
  </si>
  <si>
    <t>SORO_BC01</t>
  </si>
  <si>
    <t>BHADR_BC01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</si>
</sst>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C4FF"/>
      <name val="Calibri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2340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selection activeCell="I124" sqref="I124"/>
    </sheetView>
  </sheetViews>
  <sheetFormatPr defaultRowHeight="14.5" x14ac:dyDescent="0.35"/>
  <cols>
    <col min="1" max="3" width="18" customWidth="1"/>
    <col min="4" max="4" width="36.36328125" bestFit="1" customWidth="1"/>
    <col min="5" max="5" width="31.54296875" bestFit="1" customWidth="1"/>
    <col min="6" max="6" width="19" customWidth="1"/>
    <col min="7" max="7" width="21" customWidth="1"/>
    <col min="8" max="9" width="18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33</v>
      </c>
      <c r="B2" t="s">
        <v>24</v>
      </c>
      <c r="C2" t="s">
        <v>170</v>
      </c>
      <c r="D2" t="s">
        <v>182</v>
      </c>
      <c r="E2" t="s">
        <v>183</v>
      </c>
      <c r="F2" s="2">
        <v>285</v>
      </c>
      <c r="G2">
        <v>33</v>
      </c>
      <c r="H2" t="s">
        <v>13</v>
      </c>
      <c r="I2" s="14">
        <v>46207420003</v>
      </c>
    </row>
    <row r="3" spans="1:9" x14ac:dyDescent="0.35">
      <c r="A3" t="s">
        <v>34</v>
      </c>
      <c r="B3" t="s">
        <v>24</v>
      </c>
      <c r="C3" t="s">
        <v>170</v>
      </c>
      <c r="D3" t="s">
        <v>182</v>
      </c>
      <c r="E3" t="s">
        <v>32</v>
      </c>
      <c r="F3" s="2">
        <v>1</v>
      </c>
      <c r="G3">
        <v>33</v>
      </c>
      <c r="H3" t="s">
        <v>13</v>
      </c>
      <c r="I3" s="14" t="s">
        <v>335</v>
      </c>
    </row>
    <row r="4" spans="1:9" x14ac:dyDescent="0.35">
      <c r="A4" t="s">
        <v>35</v>
      </c>
      <c r="B4" t="s">
        <v>24</v>
      </c>
      <c r="C4" t="s">
        <v>170</v>
      </c>
      <c r="D4" t="s">
        <v>182</v>
      </c>
      <c r="E4" t="s">
        <v>184</v>
      </c>
      <c r="F4" s="2">
        <v>285</v>
      </c>
      <c r="G4">
        <v>33</v>
      </c>
      <c r="H4" t="s">
        <v>318</v>
      </c>
      <c r="I4" s="14">
        <v>46207420001</v>
      </c>
    </row>
    <row r="5" spans="1:9" x14ac:dyDescent="0.35">
      <c r="A5" t="s">
        <v>36</v>
      </c>
      <c r="B5" t="s">
        <v>24</v>
      </c>
      <c r="C5" t="s">
        <v>170</v>
      </c>
      <c r="D5" t="s">
        <v>182</v>
      </c>
      <c r="E5" t="s">
        <v>185</v>
      </c>
      <c r="F5" s="2">
        <v>279</v>
      </c>
      <c r="G5">
        <v>33</v>
      </c>
      <c r="H5" t="s">
        <v>13</v>
      </c>
      <c r="I5" s="14">
        <v>46207420004</v>
      </c>
    </row>
    <row r="6" spans="1:9" x14ac:dyDescent="0.35">
      <c r="A6" t="s">
        <v>37</v>
      </c>
      <c r="B6" t="s">
        <v>10</v>
      </c>
      <c r="C6" t="s">
        <v>11</v>
      </c>
      <c r="D6" t="s">
        <v>17</v>
      </c>
      <c r="E6" t="s">
        <v>186</v>
      </c>
      <c r="F6" s="2">
        <v>444</v>
      </c>
      <c r="G6">
        <v>33</v>
      </c>
      <c r="H6" t="s">
        <v>13</v>
      </c>
      <c r="I6" s="14">
        <v>45207412004</v>
      </c>
    </row>
    <row r="7" spans="1:9" x14ac:dyDescent="0.3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s="2">
        <v>279</v>
      </c>
      <c r="G7">
        <v>33</v>
      </c>
      <c r="H7" t="s">
        <v>13</v>
      </c>
      <c r="I7" s="14">
        <v>45207412001</v>
      </c>
    </row>
    <row r="8" spans="1:9" x14ac:dyDescent="0.35">
      <c r="A8" t="s">
        <v>38</v>
      </c>
      <c r="B8" t="s">
        <v>10</v>
      </c>
      <c r="C8" t="s">
        <v>171</v>
      </c>
      <c r="D8" t="s">
        <v>187</v>
      </c>
      <c r="E8" t="s">
        <v>188</v>
      </c>
      <c r="F8" s="2">
        <v>444</v>
      </c>
      <c r="G8">
        <v>33</v>
      </c>
      <c r="H8" t="s">
        <v>13</v>
      </c>
      <c r="I8" s="14">
        <v>45207409001</v>
      </c>
    </row>
    <row r="9" spans="1:9" x14ac:dyDescent="0.35">
      <c r="A9" t="s">
        <v>39</v>
      </c>
      <c r="B9" t="s">
        <v>10</v>
      </c>
      <c r="C9" t="s">
        <v>171</v>
      </c>
      <c r="D9" t="s">
        <v>187</v>
      </c>
      <c r="E9" t="s">
        <v>189</v>
      </c>
      <c r="F9" s="2">
        <v>285</v>
      </c>
      <c r="G9">
        <v>33</v>
      </c>
      <c r="H9" t="s">
        <v>13</v>
      </c>
      <c r="I9" s="14">
        <v>45207409002</v>
      </c>
    </row>
    <row r="10" spans="1:9" x14ac:dyDescent="0.35">
      <c r="A10" t="s">
        <v>40</v>
      </c>
      <c r="B10" t="s">
        <v>10</v>
      </c>
      <c r="C10" t="s">
        <v>11</v>
      </c>
      <c r="D10" t="s">
        <v>17</v>
      </c>
      <c r="E10" t="s">
        <v>190</v>
      </c>
      <c r="F10" s="2">
        <v>444</v>
      </c>
      <c r="G10">
        <v>33</v>
      </c>
      <c r="H10" t="s">
        <v>318</v>
      </c>
      <c r="I10" s="14">
        <v>45207412003</v>
      </c>
    </row>
    <row r="11" spans="1:9" x14ac:dyDescent="0.35">
      <c r="A11" t="s">
        <v>41</v>
      </c>
      <c r="B11" t="s">
        <v>10</v>
      </c>
      <c r="C11" t="s">
        <v>11</v>
      </c>
      <c r="D11" t="s">
        <v>17</v>
      </c>
      <c r="E11" t="s">
        <v>32</v>
      </c>
      <c r="F11" s="2">
        <v>1</v>
      </c>
      <c r="G11">
        <v>33</v>
      </c>
      <c r="H11" t="s">
        <v>13</v>
      </c>
      <c r="I11" s="14" t="s">
        <v>336</v>
      </c>
    </row>
    <row r="12" spans="1:9" x14ac:dyDescent="0.35">
      <c r="A12" t="s">
        <v>42</v>
      </c>
      <c r="B12" t="s">
        <v>15</v>
      </c>
      <c r="C12" t="s">
        <v>172</v>
      </c>
      <c r="D12" t="s">
        <v>191</v>
      </c>
      <c r="E12" t="s">
        <v>192</v>
      </c>
      <c r="F12" s="2">
        <v>279</v>
      </c>
      <c r="G12">
        <v>33</v>
      </c>
      <c r="H12" t="s">
        <v>318</v>
      </c>
      <c r="I12" s="14">
        <v>43207404003</v>
      </c>
    </row>
    <row r="13" spans="1:9" x14ac:dyDescent="0.35">
      <c r="A13" t="s">
        <v>43</v>
      </c>
      <c r="B13" t="s">
        <v>15</v>
      </c>
      <c r="C13" t="s">
        <v>172</v>
      </c>
      <c r="D13" t="s">
        <v>191</v>
      </c>
      <c r="E13" t="s">
        <v>193</v>
      </c>
      <c r="F13" s="2">
        <v>248</v>
      </c>
      <c r="G13">
        <v>33</v>
      </c>
      <c r="H13" t="s">
        <v>13</v>
      </c>
      <c r="I13" s="14">
        <v>43207404001</v>
      </c>
    </row>
    <row r="14" spans="1:9" x14ac:dyDescent="0.35">
      <c r="A14" t="s">
        <v>9</v>
      </c>
      <c r="B14" t="s">
        <v>10</v>
      </c>
      <c r="C14" t="s">
        <v>11</v>
      </c>
      <c r="D14" t="s">
        <v>17</v>
      </c>
      <c r="E14" t="s">
        <v>12</v>
      </c>
      <c r="F14" s="2">
        <v>4</v>
      </c>
      <c r="G14">
        <v>33</v>
      </c>
      <c r="H14" t="s">
        <v>13</v>
      </c>
      <c r="I14" s="14">
        <v>45207412005</v>
      </c>
    </row>
    <row r="15" spans="1:9" x14ac:dyDescent="0.35">
      <c r="A15" t="s">
        <v>44</v>
      </c>
      <c r="B15" t="s">
        <v>24</v>
      </c>
      <c r="C15" t="s">
        <v>170</v>
      </c>
      <c r="D15" t="s">
        <v>194</v>
      </c>
      <c r="E15" t="s">
        <v>195</v>
      </c>
      <c r="F15" s="2">
        <v>444</v>
      </c>
      <c r="G15">
        <v>33</v>
      </c>
      <c r="H15" t="s">
        <v>13</v>
      </c>
      <c r="I15" s="14">
        <v>44207413001</v>
      </c>
    </row>
    <row r="16" spans="1:9" x14ac:dyDescent="0.35">
      <c r="A16" t="s">
        <v>45</v>
      </c>
      <c r="B16" t="s">
        <v>24</v>
      </c>
      <c r="C16" t="s">
        <v>170</v>
      </c>
      <c r="D16" t="s">
        <v>182</v>
      </c>
      <c r="E16" t="s">
        <v>196</v>
      </c>
      <c r="F16" s="2">
        <v>285</v>
      </c>
      <c r="G16">
        <v>33</v>
      </c>
      <c r="H16" t="s">
        <v>13</v>
      </c>
      <c r="I16" s="14">
        <v>46207420002</v>
      </c>
    </row>
    <row r="17" spans="1:9" x14ac:dyDescent="0.35">
      <c r="A17" t="s">
        <v>46</v>
      </c>
      <c r="B17" t="s">
        <v>10</v>
      </c>
      <c r="C17" t="s">
        <v>171</v>
      </c>
      <c r="D17" t="s">
        <v>187</v>
      </c>
      <c r="E17" t="s">
        <v>32</v>
      </c>
      <c r="F17" s="2">
        <v>1</v>
      </c>
      <c r="G17">
        <v>33</v>
      </c>
      <c r="H17" t="s">
        <v>13</v>
      </c>
      <c r="I17" s="14" t="s">
        <v>337</v>
      </c>
    </row>
    <row r="18" spans="1:9" x14ac:dyDescent="0.35">
      <c r="A18" t="s">
        <v>47</v>
      </c>
      <c r="B18" t="s">
        <v>24</v>
      </c>
      <c r="C18" t="s">
        <v>173</v>
      </c>
      <c r="D18" t="s">
        <v>197</v>
      </c>
      <c r="E18" t="s">
        <v>198</v>
      </c>
      <c r="F18" s="2">
        <v>444</v>
      </c>
      <c r="G18">
        <v>33</v>
      </c>
      <c r="H18" t="s">
        <v>318</v>
      </c>
      <c r="I18" s="14">
        <v>46280424002</v>
      </c>
    </row>
    <row r="19" spans="1:9" x14ac:dyDescent="0.35">
      <c r="A19" t="s">
        <v>48</v>
      </c>
      <c r="B19" t="s">
        <v>24</v>
      </c>
      <c r="C19" t="s">
        <v>170</v>
      </c>
      <c r="D19" t="s">
        <v>199</v>
      </c>
      <c r="E19" t="s">
        <v>200</v>
      </c>
      <c r="F19" s="2">
        <v>285</v>
      </c>
      <c r="G19">
        <v>33</v>
      </c>
      <c r="H19" t="s">
        <v>13</v>
      </c>
      <c r="I19" s="14">
        <v>46207422003</v>
      </c>
    </row>
    <row r="20" spans="1:9" x14ac:dyDescent="0.35">
      <c r="A20" t="s">
        <v>49</v>
      </c>
      <c r="B20" t="s">
        <v>10</v>
      </c>
      <c r="C20" t="s">
        <v>171</v>
      </c>
      <c r="D20" t="s">
        <v>201</v>
      </c>
      <c r="E20" t="s">
        <v>202</v>
      </c>
      <c r="F20" s="2">
        <v>285</v>
      </c>
      <c r="G20">
        <v>33</v>
      </c>
      <c r="H20" t="s">
        <v>318</v>
      </c>
      <c r="I20" s="14">
        <v>45207408005</v>
      </c>
    </row>
    <row r="21" spans="1:9" x14ac:dyDescent="0.35">
      <c r="A21" t="s">
        <v>50</v>
      </c>
      <c r="B21" t="s">
        <v>24</v>
      </c>
      <c r="C21" t="s">
        <v>170</v>
      </c>
      <c r="D21" t="s">
        <v>194</v>
      </c>
      <c r="E21" t="s">
        <v>203</v>
      </c>
      <c r="F21" s="2">
        <v>444</v>
      </c>
      <c r="G21">
        <v>33</v>
      </c>
      <c r="H21" t="s">
        <v>13</v>
      </c>
      <c r="I21" s="14">
        <v>44207413002</v>
      </c>
    </row>
    <row r="22" spans="1:9" x14ac:dyDescent="0.35">
      <c r="A22" t="s">
        <v>51</v>
      </c>
      <c r="B22" t="s">
        <v>24</v>
      </c>
      <c r="C22" t="s">
        <v>25</v>
      </c>
      <c r="D22" t="s">
        <v>204</v>
      </c>
      <c r="E22" t="s">
        <v>205</v>
      </c>
      <c r="F22" s="2">
        <v>285</v>
      </c>
      <c r="G22">
        <v>33</v>
      </c>
      <c r="H22" t="s">
        <v>13</v>
      </c>
      <c r="I22" s="14">
        <v>46287423002</v>
      </c>
    </row>
    <row r="23" spans="1:9" x14ac:dyDescent="0.35">
      <c r="A23" t="s">
        <v>52</v>
      </c>
      <c r="B23" t="s">
        <v>29</v>
      </c>
      <c r="C23" t="s">
        <v>174</v>
      </c>
      <c r="D23" t="s">
        <v>206</v>
      </c>
      <c r="E23" t="s">
        <v>207</v>
      </c>
      <c r="F23" s="2">
        <v>444</v>
      </c>
      <c r="G23">
        <v>33</v>
      </c>
      <c r="H23" t="s">
        <v>13</v>
      </c>
      <c r="I23" s="14">
        <v>46107418005</v>
      </c>
    </row>
    <row r="24" spans="1:9" x14ac:dyDescent="0.35">
      <c r="A24" t="s">
        <v>53</v>
      </c>
      <c r="B24" t="s">
        <v>24</v>
      </c>
      <c r="C24" t="s">
        <v>173</v>
      </c>
      <c r="D24" t="s">
        <v>197</v>
      </c>
      <c r="E24" t="s">
        <v>208</v>
      </c>
      <c r="F24" s="2">
        <v>444</v>
      </c>
      <c r="G24">
        <v>33</v>
      </c>
      <c r="H24" t="s">
        <v>318</v>
      </c>
      <c r="I24" s="14">
        <v>46280424001</v>
      </c>
    </row>
    <row r="25" spans="1:9" x14ac:dyDescent="0.35">
      <c r="A25" t="s">
        <v>54</v>
      </c>
      <c r="B25" t="s">
        <v>24</v>
      </c>
      <c r="C25" t="s">
        <v>170</v>
      </c>
      <c r="D25" t="s">
        <v>199</v>
      </c>
      <c r="E25" t="s">
        <v>32</v>
      </c>
      <c r="F25" s="2">
        <v>1</v>
      </c>
      <c r="G25">
        <v>33</v>
      </c>
      <c r="H25" t="s">
        <v>13</v>
      </c>
      <c r="I25" s="14" t="s">
        <v>338</v>
      </c>
    </row>
    <row r="26" spans="1:9" x14ac:dyDescent="0.35">
      <c r="A26" t="s">
        <v>55</v>
      </c>
      <c r="B26" t="s">
        <v>24</v>
      </c>
      <c r="C26" t="s">
        <v>170</v>
      </c>
      <c r="D26" t="s">
        <v>199</v>
      </c>
      <c r="E26" t="s">
        <v>209</v>
      </c>
      <c r="F26" s="2">
        <v>285</v>
      </c>
      <c r="G26">
        <v>33</v>
      </c>
      <c r="H26" t="s">
        <v>13</v>
      </c>
      <c r="I26" s="14">
        <v>46207422001</v>
      </c>
    </row>
    <row r="27" spans="1:9" x14ac:dyDescent="0.35">
      <c r="A27" t="s">
        <v>56</v>
      </c>
      <c r="B27" t="s">
        <v>10</v>
      </c>
      <c r="C27" t="s">
        <v>175</v>
      </c>
      <c r="D27" t="s">
        <v>210</v>
      </c>
      <c r="E27" t="s">
        <v>211</v>
      </c>
      <c r="F27" s="2">
        <v>279</v>
      </c>
      <c r="G27">
        <v>33</v>
      </c>
      <c r="H27" t="s">
        <v>13</v>
      </c>
      <c r="I27" s="14">
        <v>45207410002</v>
      </c>
    </row>
    <row r="28" spans="1:9" x14ac:dyDescent="0.35">
      <c r="A28" t="s">
        <v>57</v>
      </c>
      <c r="B28" t="s">
        <v>10</v>
      </c>
      <c r="C28" t="s">
        <v>175</v>
      </c>
      <c r="D28" t="s">
        <v>210</v>
      </c>
      <c r="E28" t="s">
        <v>212</v>
      </c>
      <c r="F28" s="2">
        <v>279</v>
      </c>
      <c r="G28">
        <v>33</v>
      </c>
      <c r="H28" t="s">
        <v>318</v>
      </c>
      <c r="I28" s="14">
        <v>45207410001</v>
      </c>
    </row>
    <row r="29" spans="1:9" x14ac:dyDescent="0.35">
      <c r="A29" t="s">
        <v>58</v>
      </c>
      <c r="B29" t="s">
        <v>15</v>
      </c>
      <c r="C29" t="s">
        <v>172</v>
      </c>
      <c r="D29" t="s">
        <v>213</v>
      </c>
      <c r="E29" t="s">
        <v>32</v>
      </c>
      <c r="F29" s="2">
        <v>1</v>
      </c>
      <c r="G29">
        <v>33</v>
      </c>
      <c r="H29" t="s">
        <v>13</v>
      </c>
      <c r="I29" s="14" t="s">
        <v>339</v>
      </c>
    </row>
    <row r="30" spans="1:9" x14ac:dyDescent="0.35">
      <c r="A30" t="s">
        <v>59</v>
      </c>
      <c r="B30" t="s">
        <v>24</v>
      </c>
      <c r="C30" t="s">
        <v>173</v>
      </c>
      <c r="D30" t="s">
        <v>197</v>
      </c>
      <c r="E30" t="s">
        <v>214</v>
      </c>
      <c r="F30" s="2">
        <v>53</v>
      </c>
      <c r="G30">
        <v>33</v>
      </c>
      <c r="H30" t="s">
        <v>13</v>
      </c>
      <c r="I30" s="14">
        <v>46280424004</v>
      </c>
    </row>
    <row r="31" spans="1:9" x14ac:dyDescent="0.35">
      <c r="A31" t="s">
        <v>60</v>
      </c>
      <c r="B31" t="s">
        <v>10</v>
      </c>
      <c r="C31" t="s">
        <v>171</v>
      </c>
      <c r="D31" t="s">
        <v>187</v>
      </c>
      <c r="E31" t="s">
        <v>215</v>
      </c>
      <c r="F31" s="2">
        <v>444</v>
      </c>
      <c r="G31">
        <v>33</v>
      </c>
      <c r="H31" t="s">
        <v>13</v>
      </c>
      <c r="I31" s="14">
        <v>45207409004</v>
      </c>
    </row>
    <row r="32" spans="1:9" x14ac:dyDescent="0.35">
      <c r="A32" t="s">
        <v>61</v>
      </c>
      <c r="B32" t="s">
        <v>15</v>
      </c>
      <c r="C32" t="s">
        <v>172</v>
      </c>
      <c r="D32" t="s">
        <v>213</v>
      </c>
      <c r="E32" t="s">
        <v>216</v>
      </c>
      <c r="F32" s="2">
        <v>279</v>
      </c>
      <c r="G32">
        <v>33</v>
      </c>
      <c r="H32" t="s">
        <v>13</v>
      </c>
      <c r="I32" s="14">
        <v>43207403002</v>
      </c>
    </row>
    <row r="33" spans="1:9" x14ac:dyDescent="0.35">
      <c r="A33" t="s">
        <v>62</v>
      </c>
      <c r="B33" t="s">
        <v>176</v>
      </c>
      <c r="C33" t="s">
        <v>177</v>
      </c>
      <c r="D33" t="s">
        <v>217</v>
      </c>
      <c r="E33" t="s">
        <v>218</v>
      </c>
      <c r="F33" s="2">
        <v>285</v>
      </c>
      <c r="G33">
        <v>33</v>
      </c>
      <c r="H33" t="s">
        <v>13</v>
      </c>
      <c r="I33" s="14">
        <v>44207415002</v>
      </c>
    </row>
    <row r="34" spans="1:9" x14ac:dyDescent="0.35">
      <c r="A34" t="s">
        <v>63</v>
      </c>
      <c r="B34" t="s">
        <v>24</v>
      </c>
      <c r="C34" t="s">
        <v>170</v>
      </c>
      <c r="D34" t="s">
        <v>194</v>
      </c>
      <c r="E34" t="s">
        <v>32</v>
      </c>
      <c r="F34" s="2">
        <v>1</v>
      </c>
      <c r="G34">
        <v>33</v>
      </c>
      <c r="H34" t="s">
        <v>13</v>
      </c>
      <c r="I34" s="14" t="s">
        <v>340</v>
      </c>
    </row>
    <row r="35" spans="1:9" x14ac:dyDescent="0.35">
      <c r="A35" t="s">
        <v>64</v>
      </c>
      <c r="B35" t="s">
        <v>24</v>
      </c>
      <c r="C35" t="s">
        <v>173</v>
      </c>
      <c r="D35" t="s">
        <v>197</v>
      </c>
      <c r="E35" t="s">
        <v>219</v>
      </c>
      <c r="F35" s="2">
        <v>444</v>
      </c>
      <c r="G35">
        <v>33</v>
      </c>
      <c r="H35" t="s">
        <v>13</v>
      </c>
      <c r="I35" s="14">
        <v>46280424003</v>
      </c>
    </row>
    <row r="36" spans="1:9" x14ac:dyDescent="0.35">
      <c r="A36" t="s">
        <v>65</v>
      </c>
      <c r="B36" t="s">
        <v>15</v>
      </c>
      <c r="C36" t="s">
        <v>172</v>
      </c>
      <c r="D36" t="s">
        <v>213</v>
      </c>
      <c r="E36" t="s">
        <v>220</v>
      </c>
      <c r="F36" s="2">
        <v>444</v>
      </c>
      <c r="G36">
        <v>33</v>
      </c>
      <c r="H36" t="s">
        <v>13</v>
      </c>
      <c r="I36" s="14">
        <v>43207403001</v>
      </c>
    </row>
    <row r="37" spans="1:9" x14ac:dyDescent="0.35">
      <c r="A37" t="s">
        <v>66</v>
      </c>
      <c r="B37" t="s">
        <v>24</v>
      </c>
      <c r="C37" t="s">
        <v>170</v>
      </c>
      <c r="D37" t="s">
        <v>199</v>
      </c>
      <c r="E37" t="s">
        <v>221</v>
      </c>
      <c r="F37" s="2">
        <v>285</v>
      </c>
      <c r="G37">
        <v>33</v>
      </c>
      <c r="H37" t="s">
        <v>13</v>
      </c>
      <c r="I37" s="14">
        <v>46207422002</v>
      </c>
    </row>
    <row r="38" spans="1:9" x14ac:dyDescent="0.35">
      <c r="A38" t="s">
        <v>67</v>
      </c>
      <c r="B38" t="s">
        <v>15</v>
      </c>
      <c r="C38" t="s">
        <v>172</v>
      </c>
      <c r="D38" t="s">
        <v>191</v>
      </c>
      <c r="E38" t="s">
        <v>222</v>
      </c>
      <c r="F38" s="2">
        <v>285</v>
      </c>
      <c r="G38">
        <v>33</v>
      </c>
      <c r="H38" t="s">
        <v>13</v>
      </c>
      <c r="I38" s="14">
        <v>43207404004</v>
      </c>
    </row>
    <row r="39" spans="1:9" x14ac:dyDescent="0.35">
      <c r="A39" t="s">
        <v>68</v>
      </c>
      <c r="B39" t="s">
        <v>29</v>
      </c>
      <c r="C39" t="s">
        <v>174</v>
      </c>
      <c r="D39" t="s">
        <v>206</v>
      </c>
      <c r="E39" t="s">
        <v>223</v>
      </c>
      <c r="F39" s="2">
        <v>444</v>
      </c>
      <c r="G39">
        <v>33</v>
      </c>
      <c r="H39" t="s">
        <v>318</v>
      </c>
      <c r="I39" s="14">
        <v>46107418003</v>
      </c>
    </row>
    <row r="40" spans="1:9" x14ac:dyDescent="0.35">
      <c r="A40" t="s">
        <v>69</v>
      </c>
      <c r="B40" t="s">
        <v>29</v>
      </c>
      <c r="C40" t="s">
        <v>174</v>
      </c>
      <c r="D40" t="s">
        <v>206</v>
      </c>
      <c r="E40" t="s">
        <v>224</v>
      </c>
      <c r="F40" s="2">
        <v>444</v>
      </c>
      <c r="G40">
        <v>33</v>
      </c>
      <c r="H40" t="s">
        <v>318</v>
      </c>
      <c r="I40" s="14">
        <v>46107418002</v>
      </c>
    </row>
    <row r="41" spans="1:9" x14ac:dyDescent="0.35">
      <c r="A41" t="s">
        <v>70</v>
      </c>
      <c r="B41" t="s">
        <v>29</v>
      </c>
      <c r="C41" t="s">
        <v>174</v>
      </c>
      <c r="D41" t="s">
        <v>225</v>
      </c>
      <c r="E41" t="s">
        <v>32</v>
      </c>
      <c r="F41" s="2">
        <v>1</v>
      </c>
      <c r="G41">
        <v>33</v>
      </c>
      <c r="H41" t="s">
        <v>13</v>
      </c>
      <c r="I41" s="14" t="s">
        <v>341</v>
      </c>
    </row>
    <row r="42" spans="1:9" x14ac:dyDescent="0.35">
      <c r="A42" t="s">
        <v>71</v>
      </c>
      <c r="B42" t="s">
        <v>24</v>
      </c>
      <c r="C42" t="s">
        <v>173</v>
      </c>
      <c r="D42" t="s">
        <v>226</v>
      </c>
      <c r="E42" t="s">
        <v>227</v>
      </c>
      <c r="F42" s="2">
        <v>444</v>
      </c>
      <c r="G42">
        <v>33</v>
      </c>
      <c r="H42" t="s">
        <v>13</v>
      </c>
      <c r="I42" s="14">
        <v>46280427001</v>
      </c>
    </row>
    <row r="43" spans="1:9" x14ac:dyDescent="0.35">
      <c r="A43" t="s">
        <v>72</v>
      </c>
      <c r="B43" t="s">
        <v>24</v>
      </c>
      <c r="C43" t="s">
        <v>173</v>
      </c>
      <c r="D43" t="s">
        <v>226</v>
      </c>
      <c r="E43" t="s">
        <v>228</v>
      </c>
      <c r="F43" s="2">
        <v>444</v>
      </c>
      <c r="G43">
        <v>33</v>
      </c>
      <c r="H43" t="s">
        <v>13</v>
      </c>
      <c r="I43" s="14">
        <v>46280427002</v>
      </c>
    </row>
    <row r="44" spans="1:9" x14ac:dyDescent="0.35">
      <c r="A44" t="s">
        <v>73</v>
      </c>
      <c r="B44" t="s">
        <v>24</v>
      </c>
      <c r="C44" t="s">
        <v>173</v>
      </c>
      <c r="D44" t="s">
        <v>226</v>
      </c>
      <c r="E44" t="s">
        <v>32</v>
      </c>
      <c r="F44" s="2">
        <v>1</v>
      </c>
      <c r="G44">
        <v>33</v>
      </c>
      <c r="H44" t="s">
        <v>13</v>
      </c>
      <c r="I44" s="14" t="s">
        <v>342</v>
      </c>
    </row>
    <row r="45" spans="1:9" x14ac:dyDescent="0.35">
      <c r="A45" t="s">
        <v>74</v>
      </c>
      <c r="B45" t="s">
        <v>24</v>
      </c>
      <c r="C45" t="s">
        <v>170</v>
      </c>
      <c r="D45" t="s">
        <v>194</v>
      </c>
      <c r="E45" t="s">
        <v>229</v>
      </c>
      <c r="F45" s="2">
        <v>179</v>
      </c>
      <c r="G45">
        <v>33</v>
      </c>
      <c r="H45" t="s">
        <v>13</v>
      </c>
      <c r="I45" s="14">
        <v>44207413003</v>
      </c>
    </row>
    <row r="46" spans="1:9" x14ac:dyDescent="0.35">
      <c r="A46" t="s">
        <v>75</v>
      </c>
      <c r="B46" t="s">
        <v>29</v>
      </c>
      <c r="C46" t="s">
        <v>174</v>
      </c>
      <c r="D46" t="s">
        <v>225</v>
      </c>
      <c r="E46" t="s">
        <v>230</v>
      </c>
      <c r="F46" s="2">
        <v>285</v>
      </c>
      <c r="G46">
        <v>33</v>
      </c>
      <c r="H46" t="s">
        <v>13</v>
      </c>
      <c r="I46" s="14">
        <v>46187417001</v>
      </c>
    </row>
    <row r="47" spans="1:9" x14ac:dyDescent="0.35">
      <c r="A47" t="s">
        <v>76</v>
      </c>
      <c r="B47" t="s">
        <v>29</v>
      </c>
      <c r="C47" t="s">
        <v>174</v>
      </c>
      <c r="D47" t="s">
        <v>225</v>
      </c>
      <c r="E47" t="s">
        <v>231</v>
      </c>
      <c r="F47" s="2">
        <v>444</v>
      </c>
      <c r="G47">
        <v>33</v>
      </c>
      <c r="H47" t="s">
        <v>13</v>
      </c>
      <c r="I47" s="14">
        <v>46187417002</v>
      </c>
    </row>
    <row r="48" spans="1:9" x14ac:dyDescent="0.35">
      <c r="A48" t="s">
        <v>77</v>
      </c>
      <c r="B48" t="s">
        <v>29</v>
      </c>
      <c r="C48" t="s">
        <v>178</v>
      </c>
      <c r="D48" t="s">
        <v>232</v>
      </c>
      <c r="E48" t="s">
        <v>233</v>
      </c>
      <c r="F48" s="2">
        <v>444</v>
      </c>
      <c r="G48">
        <v>33</v>
      </c>
      <c r="H48" t="s">
        <v>13</v>
      </c>
      <c r="I48" s="14">
        <v>46107416002</v>
      </c>
    </row>
    <row r="49" spans="1:9" x14ac:dyDescent="0.35">
      <c r="A49" t="s">
        <v>78</v>
      </c>
      <c r="B49" t="s">
        <v>29</v>
      </c>
      <c r="C49" t="s">
        <v>178</v>
      </c>
      <c r="D49" t="s">
        <v>232</v>
      </c>
      <c r="E49" t="s">
        <v>234</v>
      </c>
      <c r="F49" s="2">
        <v>279</v>
      </c>
      <c r="G49">
        <v>33</v>
      </c>
      <c r="H49" t="s">
        <v>13</v>
      </c>
      <c r="I49" s="14">
        <v>46107416001</v>
      </c>
    </row>
    <row r="50" spans="1:9" x14ac:dyDescent="0.35">
      <c r="A50" t="s">
        <v>79</v>
      </c>
      <c r="B50" t="s">
        <v>24</v>
      </c>
      <c r="C50" t="s">
        <v>170</v>
      </c>
      <c r="D50" t="s">
        <v>199</v>
      </c>
      <c r="E50" t="s">
        <v>235</v>
      </c>
      <c r="F50" s="2">
        <v>279</v>
      </c>
      <c r="G50">
        <v>33</v>
      </c>
      <c r="H50" t="s">
        <v>13</v>
      </c>
      <c r="I50" s="14">
        <v>46207422004</v>
      </c>
    </row>
    <row r="51" spans="1:9" x14ac:dyDescent="0.35">
      <c r="A51" t="s">
        <v>80</v>
      </c>
      <c r="B51" t="s">
        <v>15</v>
      </c>
      <c r="C51" t="s">
        <v>16</v>
      </c>
      <c r="D51" t="s">
        <v>236</v>
      </c>
      <c r="E51" t="s">
        <v>237</v>
      </c>
      <c r="F51" s="2">
        <v>444</v>
      </c>
      <c r="G51">
        <v>33</v>
      </c>
      <c r="H51" t="s">
        <v>13</v>
      </c>
      <c r="I51" s="14">
        <v>43207405003</v>
      </c>
    </row>
    <row r="52" spans="1:9" x14ac:dyDescent="0.35">
      <c r="A52" t="s">
        <v>81</v>
      </c>
      <c r="B52" t="s">
        <v>15</v>
      </c>
      <c r="C52" t="s">
        <v>179</v>
      </c>
      <c r="D52" t="s">
        <v>238</v>
      </c>
      <c r="E52" t="s">
        <v>239</v>
      </c>
      <c r="F52" s="2">
        <v>329</v>
      </c>
      <c r="G52">
        <v>33</v>
      </c>
      <c r="H52" t="s">
        <v>13</v>
      </c>
      <c r="I52" s="14">
        <v>43207406004</v>
      </c>
    </row>
    <row r="53" spans="1:9" x14ac:dyDescent="0.35">
      <c r="A53" t="s">
        <v>82</v>
      </c>
      <c r="B53" t="s">
        <v>29</v>
      </c>
      <c r="C53" t="s">
        <v>174</v>
      </c>
      <c r="D53" t="s">
        <v>206</v>
      </c>
      <c r="E53" t="s">
        <v>240</v>
      </c>
      <c r="F53" s="2">
        <v>248</v>
      </c>
      <c r="G53">
        <v>33</v>
      </c>
      <c r="H53" t="s">
        <v>318</v>
      </c>
      <c r="I53" s="14">
        <v>46107418004</v>
      </c>
    </row>
    <row r="54" spans="1:9" x14ac:dyDescent="0.35">
      <c r="A54" t="s">
        <v>83</v>
      </c>
      <c r="B54" t="s">
        <v>24</v>
      </c>
      <c r="C54" t="s">
        <v>25</v>
      </c>
      <c r="D54" t="s">
        <v>204</v>
      </c>
      <c r="E54" t="s">
        <v>241</v>
      </c>
      <c r="F54" s="2">
        <v>444</v>
      </c>
      <c r="G54">
        <v>33</v>
      </c>
      <c r="H54" t="s">
        <v>318</v>
      </c>
      <c r="I54" s="14">
        <v>46287423003</v>
      </c>
    </row>
    <row r="55" spans="1:9" x14ac:dyDescent="0.35">
      <c r="A55" t="s">
        <v>84</v>
      </c>
      <c r="B55" t="s">
        <v>24</v>
      </c>
      <c r="C55" t="s">
        <v>25</v>
      </c>
      <c r="D55" t="s">
        <v>204</v>
      </c>
      <c r="E55" t="s">
        <v>242</v>
      </c>
      <c r="F55" s="2">
        <v>1</v>
      </c>
      <c r="G55">
        <v>33</v>
      </c>
      <c r="H55" t="s">
        <v>13</v>
      </c>
      <c r="I55" s="14" t="s">
        <v>343</v>
      </c>
    </row>
    <row r="56" spans="1:9" x14ac:dyDescent="0.35">
      <c r="A56" t="s">
        <v>85</v>
      </c>
      <c r="B56" t="s">
        <v>24</v>
      </c>
      <c r="C56" t="s">
        <v>25</v>
      </c>
      <c r="D56" t="s">
        <v>243</v>
      </c>
      <c r="E56" t="s">
        <v>244</v>
      </c>
      <c r="F56" s="2">
        <v>444</v>
      </c>
      <c r="G56">
        <v>33</v>
      </c>
      <c r="H56" t="s">
        <v>318</v>
      </c>
      <c r="I56" s="14">
        <v>46207421001</v>
      </c>
    </row>
    <row r="57" spans="1:9" x14ac:dyDescent="0.35">
      <c r="A57" t="s">
        <v>86</v>
      </c>
      <c r="B57" t="s">
        <v>24</v>
      </c>
      <c r="C57" t="s">
        <v>25</v>
      </c>
      <c r="D57" t="s">
        <v>243</v>
      </c>
      <c r="E57" t="s">
        <v>245</v>
      </c>
      <c r="F57" s="2">
        <v>444</v>
      </c>
      <c r="G57">
        <v>33</v>
      </c>
      <c r="H57" t="s">
        <v>318</v>
      </c>
      <c r="I57" s="14">
        <v>46207421002</v>
      </c>
    </row>
    <row r="58" spans="1:9" x14ac:dyDescent="0.35">
      <c r="A58" t="s">
        <v>87</v>
      </c>
      <c r="B58" t="s">
        <v>24</v>
      </c>
      <c r="C58" t="s">
        <v>25</v>
      </c>
      <c r="D58" t="s">
        <v>243</v>
      </c>
      <c r="E58" t="s">
        <v>32</v>
      </c>
      <c r="F58" s="2">
        <v>1</v>
      </c>
      <c r="G58">
        <v>33</v>
      </c>
      <c r="H58" t="s">
        <v>13</v>
      </c>
      <c r="I58" s="14" t="s">
        <v>344</v>
      </c>
    </row>
    <row r="59" spans="1:9" x14ac:dyDescent="0.35">
      <c r="A59" t="s">
        <v>88</v>
      </c>
      <c r="B59" t="s">
        <v>24</v>
      </c>
      <c r="C59" t="s">
        <v>25</v>
      </c>
      <c r="D59" t="s">
        <v>243</v>
      </c>
      <c r="E59" t="s">
        <v>246</v>
      </c>
      <c r="F59" s="2">
        <v>411</v>
      </c>
      <c r="G59">
        <v>33</v>
      </c>
      <c r="H59" t="s">
        <v>318</v>
      </c>
      <c r="I59" s="14">
        <v>46207421003</v>
      </c>
    </row>
    <row r="60" spans="1:9" x14ac:dyDescent="0.35">
      <c r="A60" t="s">
        <v>89</v>
      </c>
      <c r="B60" t="s">
        <v>10</v>
      </c>
      <c r="C60" t="s">
        <v>175</v>
      </c>
      <c r="D60" t="s">
        <v>247</v>
      </c>
      <c r="E60" t="s">
        <v>248</v>
      </c>
      <c r="F60" s="2">
        <v>279</v>
      </c>
      <c r="G60">
        <v>33</v>
      </c>
      <c r="H60" t="s">
        <v>13</v>
      </c>
      <c r="I60" s="14">
        <v>45207411003</v>
      </c>
    </row>
    <row r="61" spans="1:9" x14ac:dyDescent="0.35">
      <c r="A61" t="s">
        <v>90</v>
      </c>
      <c r="B61" t="s">
        <v>10</v>
      </c>
      <c r="C61" t="s">
        <v>175</v>
      </c>
      <c r="D61" t="s">
        <v>247</v>
      </c>
      <c r="E61" t="s">
        <v>249</v>
      </c>
      <c r="F61" s="2">
        <v>285</v>
      </c>
      <c r="G61">
        <v>33</v>
      </c>
      <c r="H61" t="s">
        <v>13</v>
      </c>
      <c r="I61" s="14">
        <v>45207411004</v>
      </c>
    </row>
    <row r="62" spans="1:9" x14ac:dyDescent="0.35">
      <c r="A62" t="s">
        <v>91</v>
      </c>
      <c r="B62" t="s">
        <v>10</v>
      </c>
      <c r="C62" t="s">
        <v>175</v>
      </c>
      <c r="D62" t="s">
        <v>247</v>
      </c>
      <c r="E62" t="s">
        <v>250</v>
      </c>
      <c r="F62" s="2">
        <v>248</v>
      </c>
      <c r="G62">
        <v>33</v>
      </c>
      <c r="H62" t="s">
        <v>318</v>
      </c>
      <c r="I62" s="14">
        <v>45207411001</v>
      </c>
    </row>
    <row r="63" spans="1:9" x14ac:dyDescent="0.35">
      <c r="A63" t="s">
        <v>92</v>
      </c>
      <c r="B63" t="s">
        <v>10</v>
      </c>
      <c r="C63" t="s">
        <v>175</v>
      </c>
      <c r="D63" t="s">
        <v>247</v>
      </c>
      <c r="E63" t="s">
        <v>251</v>
      </c>
      <c r="F63" s="2">
        <v>248</v>
      </c>
      <c r="G63">
        <v>33</v>
      </c>
      <c r="H63" t="s">
        <v>318</v>
      </c>
      <c r="I63" s="14">
        <v>45207411005</v>
      </c>
    </row>
    <row r="64" spans="1:9" x14ac:dyDescent="0.35">
      <c r="A64" t="s">
        <v>93</v>
      </c>
      <c r="B64" t="s">
        <v>10</v>
      </c>
      <c r="C64" t="s">
        <v>175</v>
      </c>
      <c r="D64" t="s">
        <v>247</v>
      </c>
      <c r="E64" t="s">
        <v>32</v>
      </c>
      <c r="F64" s="2">
        <v>1</v>
      </c>
      <c r="G64">
        <v>33</v>
      </c>
      <c r="H64" t="s">
        <v>13</v>
      </c>
      <c r="I64" s="14" t="s">
        <v>345</v>
      </c>
    </row>
    <row r="65" spans="1:9" x14ac:dyDescent="0.35">
      <c r="A65" t="s">
        <v>94</v>
      </c>
      <c r="B65" t="s">
        <v>10</v>
      </c>
      <c r="C65" t="s">
        <v>175</v>
      </c>
      <c r="D65" t="s">
        <v>247</v>
      </c>
      <c r="E65" t="s">
        <v>252</v>
      </c>
      <c r="F65" s="2">
        <v>248</v>
      </c>
      <c r="G65">
        <v>33</v>
      </c>
      <c r="H65" t="s">
        <v>318</v>
      </c>
      <c r="I65" s="14">
        <v>45207411002</v>
      </c>
    </row>
    <row r="66" spans="1:9" x14ac:dyDescent="0.35">
      <c r="A66" t="s">
        <v>95</v>
      </c>
      <c r="B66" t="s">
        <v>176</v>
      </c>
      <c r="C66" t="s">
        <v>177</v>
      </c>
      <c r="D66" t="s">
        <v>253</v>
      </c>
      <c r="E66" t="s">
        <v>254</v>
      </c>
      <c r="F66" s="2">
        <v>179</v>
      </c>
      <c r="G66">
        <v>33</v>
      </c>
      <c r="H66" t="s">
        <v>318</v>
      </c>
      <c r="I66" s="14">
        <v>44287429002</v>
      </c>
    </row>
    <row r="67" spans="1:9" x14ac:dyDescent="0.35">
      <c r="A67" t="s">
        <v>96</v>
      </c>
      <c r="B67" t="s">
        <v>176</v>
      </c>
      <c r="C67" t="s">
        <v>177</v>
      </c>
      <c r="D67" t="s">
        <v>253</v>
      </c>
      <c r="E67" t="s">
        <v>32</v>
      </c>
      <c r="F67" s="2">
        <v>1</v>
      </c>
      <c r="G67">
        <v>33</v>
      </c>
      <c r="H67" t="s">
        <v>13</v>
      </c>
      <c r="I67" s="14" t="s">
        <v>346</v>
      </c>
    </row>
    <row r="68" spans="1:9" x14ac:dyDescent="0.35">
      <c r="A68" t="s">
        <v>97</v>
      </c>
      <c r="B68" t="s">
        <v>176</v>
      </c>
      <c r="C68" t="s">
        <v>177</v>
      </c>
      <c r="D68" t="s">
        <v>253</v>
      </c>
      <c r="E68" t="s">
        <v>255</v>
      </c>
      <c r="F68" s="2">
        <v>279</v>
      </c>
      <c r="G68">
        <v>33</v>
      </c>
      <c r="H68" t="s">
        <v>13</v>
      </c>
      <c r="I68" s="14">
        <v>44287429001</v>
      </c>
    </row>
    <row r="69" spans="1:9" x14ac:dyDescent="0.35">
      <c r="A69" t="s">
        <v>98</v>
      </c>
      <c r="B69" t="s">
        <v>10</v>
      </c>
      <c r="C69" t="s">
        <v>175</v>
      </c>
      <c r="D69" t="s">
        <v>210</v>
      </c>
      <c r="E69" t="s">
        <v>256</v>
      </c>
      <c r="F69" s="2">
        <v>444</v>
      </c>
      <c r="G69">
        <v>33</v>
      </c>
      <c r="H69" t="s">
        <v>13</v>
      </c>
      <c r="I69" s="14">
        <v>45207410003</v>
      </c>
    </row>
    <row r="70" spans="1:9" x14ac:dyDescent="0.35">
      <c r="A70" t="s">
        <v>99</v>
      </c>
      <c r="B70" t="s">
        <v>24</v>
      </c>
      <c r="C70" t="s">
        <v>25</v>
      </c>
      <c r="D70" t="s">
        <v>204</v>
      </c>
      <c r="E70" t="s">
        <v>257</v>
      </c>
      <c r="F70" s="2">
        <v>444</v>
      </c>
      <c r="G70">
        <v>33</v>
      </c>
      <c r="H70" t="s">
        <v>13</v>
      </c>
      <c r="I70" s="14">
        <v>46287423001</v>
      </c>
    </row>
    <row r="71" spans="1:9" x14ac:dyDescent="0.35">
      <c r="A71" t="s">
        <v>28</v>
      </c>
      <c r="B71" t="s">
        <v>29</v>
      </c>
      <c r="C71" t="s">
        <v>30</v>
      </c>
      <c r="D71" t="s">
        <v>31</v>
      </c>
      <c r="E71" t="s">
        <v>32</v>
      </c>
      <c r="F71" s="2">
        <v>1</v>
      </c>
      <c r="G71">
        <v>33</v>
      </c>
      <c r="H71" t="s">
        <v>13</v>
      </c>
      <c r="I71" s="14" t="s">
        <v>347</v>
      </c>
    </row>
    <row r="72" spans="1:9" x14ac:dyDescent="0.35">
      <c r="A72" t="s">
        <v>100</v>
      </c>
      <c r="B72" t="s">
        <v>15</v>
      </c>
      <c r="C72" t="s">
        <v>16</v>
      </c>
      <c r="D72" t="s">
        <v>321</v>
      </c>
      <c r="E72" t="s">
        <v>258</v>
      </c>
      <c r="F72" s="2">
        <v>248</v>
      </c>
      <c r="G72">
        <v>33</v>
      </c>
      <c r="H72" t="s">
        <v>13</v>
      </c>
      <c r="I72" s="14">
        <v>43287401010</v>
      </c>
    </row>
    <row r="73" spans="1:9" x14ac:dyDescent="0.35">
      <c r="A73" t="s">
        <v>101</v>
      </c>
      <c r="B73" t="s">
        <v>15</v>
      </c>
      <c r="C73" t="s">
        <v>179</v>
      </c>
      <c r="D73" t="s">
        <v>238</v>
      </c>
      <c r="E73" t="s">
        <v>259</v>
      </c>
      <c r="F73" s="2">
        <v>444</v>
      </c>
      <c r="G73">
        <v>33</v>
      </c>
      <c r="H73" t="s">
        <v>13</v>
      </c>
      <c r="I73" s="14">
        <v>43207406003</v>
      </c>
    </row>
    <row r="74" spans="1:9" x14ac:dyDescent="0.35">
      <c r="A74" t="s">
        <v>102</v>
      </c>
      <c r="B74" t="s">
        <v>15</v>
      </c>
      <c r="C74" t="s">
        <v>179</v>
      </c>
      <c r="D74" t="s">
        <v>238</v>
      </c>
      <c r="E74" t="s">
        <v>260</v>
      </c>
      <c r="F74" s="2">
        <v>279</v>
      </c>
      <c r="G74">
        <v>33</v>
      </c>
      <c r="H74" t="s">
        <v>13</v>
      </c>
      <c r="I74" s="14">
        <v>43207406005</v>
      </c>
    </row>
    <row r="75" spans="1:9" x14ac:dyDescent="0.35">
      <c r="A75" t="s">
        <v>103</v>
      </c>
      <c r="B75" t="s">
        <v>15</v>
      </c>
      <c r="C75" t="s">
        <v>179</v>
      </c>
      <c r="D75" t="s">
        <v>238</v>
      </c>
      <c r="E75" t="s">
        <v>261</v>
      </c>
      <c r="F75" s="2">
        <v>444</v>
      </c>
      <c r="G75">
        <v>33</v>
      </c>
      <c r="H75" t="s">
        <v>13</v>
      </c>
      <c r="I75" s="14">
        <v>43207406001</v>
      </c>
    </row>
    <row r="76" spans="1:9" x14ac:dyDescent="0.35">
      <c r="A76" t="s">
        <v>104</v>
      </c>
      <c r="B76" t="s">
        <v>176</v>
      </c>
      <c r="C76" t="s">
        <v>177</v>
      </c>
      <c r="D76" t="s">
        <v>238</v>
      </c>
      <c r="E76" t="s">
        <v>262</v>
      </c>
      <c r="F76" s="2">
        <v>444</v>
      </c>
      <c r="G76">
        <v>33</v>
      </c>
      <c r="H76" t="s">
        <v>13</v>
      </c>
      <c r="I76" s="14">
        <v>43207406002</v>
      </c>
    </row>
    <row r="77" spans="1:9" x14ac:dyDescent="0.35">
      <c r="A77" t="s">
        <v>105</v>
      </c>
      <c r="B77" t="s">
        <v>176</v>
      </c>
      <c r="C77" t="s">
        <v>177</v>
      </c>
      <c r="D77" t="s">
        <v>320</v>
      </c>
      <c r="E77" t="s">
        <v>263</v>
      </c>
      <c r="F77" s="2">
        <v>376</v>
      </c>
      <c r="G77">
        <v>33</v>
      </c>
      <c r="H77" t="s">
        <v>318</v>
      </c>
      <c r="I77" s="14">
        <v>44287414006</v>
      </c>
    </row>
    <row r="78" spans="1:9" x14ac:dyDescent="0.35">
      <c r="A78" t="s">
        <v>106</v>
      </c>
      <c r="B78" t="s">
        <v>176</v>
      </c>
      <c r="C78" t="s">
        <v>180</v>
      </c>
      <c r="D78" t="s">
        <v>320</v>
      </c>
      <c r="E78" t="s">
        <v>264</v>
      </c>
      <c r="F78" s="2">
        <v>376</v>
      </c>
      <c r="G78">
        <v>33</v>
      </c>
      <c r="H78" t="s">
        <v>13</v>
      </c>
      <c r="I78" s="14">
        <v>44287414003</v>
      </c>
    </row>
    <row r="79" spans="1:9" x14ac:dyDescent="0.35">
      <c r="A79" t="s">
        <v>107</v>
      </c>
      <c r="B79" t="s">
        <v>15</v>
      </c>
      <c r="C79" t="s">
        <v>172</v>
      </c>
      <c r="D79" t="s">
        <v>191</v>
      </c>
      <c r="E79" t="s">
        <v>265</v>
      </c>
      <c r="F79" s="2">
        <v>285</v>
      </c>
      <c r="G79">
        <v>33</v>
      </c>
      <c r="H79" t="s">
        <v>13</v>
      </c>
      <c r="I79" s="14">
        <v>43207404002</v>
      </c>
    </row>
    <row r="80" spans="1:9" x14ac:dyDescent="0.35">
      <c r="A80" t="s">
        <v>108</v>
      </c>
      <c r="B80" t="s">
        <v>15</v>
      </c>
      <c r="C80" t="s">
        <v>20</v>
      </c>
      <c r="D80" t="s">
        <v>321</v>
      </c>
      <c r="E80" t="s">
        <v>266</v>
      </c>
      <c r="F80" s="2">
        <v>376</v>
      </c>
      <c r="G80">
        <v>33</v>
      </c>
      <c r="H80" t="s">
        <v>318</v>
      </c>
      <c r="I80" s="14">
        <v>43287401012</v>
      </c>
    </row>
    <row r="81" spans="1:9" x14ac:dyDescent="0.35">
      <c r="A81" t="s">
        <v>109</v>
      </c>
      <c r="B81" t="s">
        <v>15</v>
      </c>
      <c r="C81" t="s">
        <v>16</v>
      </c>
      <c r="D81" t="s">
        <v>321</v>
      </c>
      <c r="E81" t="s">
        <v>267</v>
      </c>
      <c r="F81" s="2">
        <v>444</v>
      </c>
      <c r="G81">
        <v>33</v>
      </c>
      <c r="H81" t="s">
        <v>13</v>
      </c>
      <c r="I81" s="14">
        <v>43287401005</v>
      </c>
    </row>
    <row r="82" spans="1:9" x14ac:dyDescent="0.35">
      <c r="A82" t="s">
        <v>110</v>
      </c>
      <c r="B82" t="s">
        <v>15</v>
      </c>
      <c r="C82" t="s">
        <v>20</v>
      </c>
      <c r="D82" t="s">
        <v>321</v>
      </c>
      <c r="E82" t="s">
        <v>268</v>
      </c>
      <c r="F82" s="2">
        <v>53</v>
      </c>
      <c r="G82">
        <v>33</v>
      </c>
      <c r="H82" t="s">
        <v>318</v>
      </c>
      <c r="I82" s="14">
        <v>43287401007</v>
      </c>
    </row>
    <row r="83" spans="1:9" x14ac:dyDescent="0.35">
      <c r="A83" t="s">
        <v>111</v>
      </c>
      <c r="B83" t="s">
        <v>15</v>
      </c>
      <c r="C83" t="s">
        <v>16</v>
      </c>
      <c r="D83" t="s">
        <v>321</v>
      </c>
      <c r="E83" t="s">
        <v>269</v>
      </c>
      <c r="F83" s="2">
        <v>279</v>
      </c>
      <c r="G83">
        <v>33</v>
      </c>
      <c r="H83" t="s">
        <v>13</v>
      </c>
      <c r="I83" s="14">
        <v>43287401009</v>
      </c>
    </row>
    <row r="84" spans="1:9" x14ac:dyDescent="0.35">
      <c r="A84" t="s">
        <v>112</v>
      </c>
      <c r="B84" t="s">
        <v>15</v>
      </c>
      <c r="C84" t="s">
        <v>20</v>
      </c>
      <c r="D84" t="s">
        <v>321</v>
      </c>
      <c r="E84" t="s">
        <v>270</v>
      </c>
      <c r="F84" s="2">
        <v>285</v>
      </c>
      <c r="G84">
        <v>33</v>
      </c>
      <c r="H84" t="s">
        <v>318</v>
      </c>
      <c r="I84" s="14">
        <v>43287401001</v>
      </c>
    </row>
    <row r="85" spans="1:9" x14ac:dyDescent="0.35">
      <c r="A85" t="s">
        <v>113</v>
      </c>
      <c r="B85" t="s">
        <v>15</v>
      </c>
      <c r="C85" t="s">
        <v>181</v>
      </c>
      <c r="D85" t="s">
        <v>271</v>
      </c>
      <c r="E85" t="s">
        <v>272</v>
      </c>
      <c r="F85" s="2">
        <v>285</v>
      </c>
      <c r="G85">
        <v>33</v>
      </c>
      <c r="H85" t="s">
        <v>13</v>
      </c>
      <c r="I85" s="14">
        <v>43207402003</v>
      </c>
    </row>
    <row r="86" spans="1:9" x14ac:dyDescent="0.35">
      <c r="A86" t="s">
        <v>114</v>
      </c>
      <c r="B86" t="s">
        <v>15</v>
      </c>
      <c r="C86" t="s">
        <v>181</v>
      </c>
      <c r="D86" t="s">
        <v>271</v>
      </c>
      <c r="E86" t="s">
        <v>273</v>
      </c>
      <c r="F86" s="2">
        <v>279</v>
      </c>
      <c r="G86">
        <v>33</v>
      </c>
      <c r="H86" t="s">
        <v>318</v>
      </c>
      <c r="I86" s="14">
        <v>43207402002</v>
      </c>
    </row>
    <row r="87" spans="1:9" x14ac:dyDescent="0.35">
      <c r="A87" t="s">
        <v>115</v>
      </c>
      <c r="B87" t="s">
        <v>15</v>
      </c>
      <c r="C87" t="s">
        <v>181</v>
      </c>
      <c r="D87" t="s">
        <v>271</v>
      </c>
      <c r="E87" t="s">
        <v>274</v>
      </c>
      <c r="F87" s="2">
        <v>279</v>
      </c>
      <c r="G87">
        <v>33</v>
      </c>
      <c r="H87" t="s">
        <v>13</v>
      </c>
      <c r="I87" s="14">
        <v>43207402001</v>
      </c>
    </row>
    <row r="88" spans="1:9" x14ac:dyDescent="0.35">
      <c r="A88" t="s">
        <v>116</v>
      </c>
      <c r="B88" t="s">
        <v>15</v>
      </c>
      <c r="C88" t="s">
        <v>16</v>
      </c>
      <c r="D88" t="s">
        <v>321</v>
      </c>
      <c r="E88" t="s">
        <v>275</v>
      </c>
      <c r="F88" s="2">
        <v>179</v>
      </c>
      <c r="G88">
        <v>33</v>
      </c>
      <c r="H88" t="s">
        <v>13</v>
      </c>
      <c r="I88" s="14">
        <v>43287401011</v>
      </c>
    </row>
    <row r="89" spans="1:9" x14ac:dyDescent="0.35">
      <c r="A89" t="s">
        <v>117</v>
      </c>
      <c r="B89" t="s">
        <v>15</v>
      </c>
      <c r="C89" t="s">
        <v>16</v>
      </c>
      <c r="D89" t="s">
        <v>321</v>
      </c>
      <c r="E89" t="s">
        <v>276</v>
      </c>
      <c r="F89" s="2">
        <v>279</v>
      </c>
      <c r="G89">
        <v>33</v>
      </c>
      <c r="H89" t="s">
        <v>318</v>
      </c>
      <c r="I89" s="14">
        <v>43287401003</v>
      </c>
    </row>
    <row r="90" spans="1:9" x14ac:dyDescent="0.35">
      <c r="A90" t="s">
        <v>118</v>
      </c>
      <c r="B90" t="s">
        <v>15</v>
      </c>
      <c r="C90" t="s">
        <v>16</v>
      </c>
      <c r="D90" t="s">
        <v>321</v>
      </c>
      <c r="E90" t="s">
        <v>277</v>
      </c>
      <c r="F90" s="2">
        <v>279</v>
      </c>
      <c r="G90">
        <v>33</v>
      </c>
      <c r="H90" t="s">
        <v>318</v>
      </c>
      <c r="I90" s="14">
        <v>43287401008</v>
      </c>
    </row>
    <row r="91" spans="1:9" x14ac:dyDescent="0.35">
      <c r="A91" t="s">
        <v>119</v>
      </c>
      <c r="B91" t="s">
        <v>15</v>
      </c>
      <c r="C91" t="s">
        <v>20</v>
      </c>
      <c r="D91" t="s">
        <v>321</v>
      </c>
      <c r="E91" t="s">
        <v>278</v>
      </c>
      <c r="F91" s="2">
        <v>444</v>
      </c>
      <c r="G91">
        <v>33</v>
      </c>
      <c r="H91" t="s">
        <v>318</v>
      </c>
      <c r="I91" s="14">
        <v>43287401004</v>
      </c>
    </row>
    <row r="92" spans="1:9" x14ac:dyDescent="0.35">
      <c r="A92" t="s">
        <v>120</v>
      </c>
      <c r="B92" t="s">
        <v>10</v>
      </c>
      <c r="C92" t="s">
        <v>171</v>
      </c>
      <c r="D92" t="s">
        <v>279</v>
      </c>
      <c r="E92" t="s">
        <v>280</v>
      </c>
      <c r="F92" s="2">
        <v>444</v>
      </c>
      <c r="G92">
        <v>33</v>
      </c>
      <c r="H92" t="s">
        <v>13</v>
      </c>
      <c r="I92" s="14">
        <v>45207407001</v>
      </c>
    </row>
    <row r="93" spans="1:9" x14ac:dyDescent="0.35">
      <c r="A93" t="s">
        <v>121</v>
      </c>
      <c r="B93" t="s">
        <v>15</v>
      </c>
      <c r="C93" t="s">
        <v>20</v>
      </c>
      <c r="D93" t="s">
        <v>21</v>
      </c>
      <c r="E93" t="s">
        <v>32</v>
      </c>
      <c r="F93" s="2">
        <v>1</v>
      </c>
      <c r="G93">
        <v>33</v>
      </c>
      <c r="H93" t="s">
        <v>13</v>
      </c>
      <c r="I93" s="14" t="s">
        <v>348</v>
      </c>
    </row>
    <row r="94" spans="1:9" x14ac:dyDescent="0.35">
      <c r="A94" t="s">
        <v>122</v>
      </c>
      <c r="B94" t="s">
        <v>15</v>
      </c>
      <c r="C94" t="s">
        <v>20</v>
      </c>
      <c r="D94" t="s">
        <v>21</v>
      </c>
      <c r="E94" t="s">
        <v>281</v>
      </c>
      <c r="F94" s="2">
        <v>444</v>
      </c>
      <c r="G94">
        <v>33</v>
      </c>
      <c r="H94" t="s">
        <v>318</v>
      </c>
      <c r="I94" s="14">
        <v>43207428002</v>
      </c>
    </row>
    <row r="95" spans="1:9" x14ac:dyDescent="0.35">
      <c r="A95" t="s">
        <v>123</v>
      </c>
      <c r="B95" t="s">
        <v>15</v>
      </c>
      <c r="C95" t="s">
        <v>20</v>
      </c>
      <c r="D95" t="s">
        <v>321</v>
      </c>
      <c r="E95" t="s">
        <v>282</v>
      </c>
      <c r="F95" s="2">
        <v>376</v>
      </c>
      <c r="G95">
        <v>33</v>
      </c>
      <c r="H95" t="s">
        <v>318</v>
      </c>
      <c r="I95" s="14">
        <v>43287401002</v>
      </c>
    </row>
    <row r="96" spans="1:9" x14ac:dyDescent="0.35">
      <c r="A96" t="s">
        <v>124</v>
      </c>
      <c r="B96" t="s">
        <v>15</v>
      </c>
      <c r="C96" t="s">
        <v>16</v>
      </c>
      <c r="D96" t="s">
        <v>321</v>
      </c>
      <c r="E96" t="s">
        <v>32</v>
      </c>
      <c r="F96" s="2">
        <v>1</v>
      </c>
      <c r="G96">
        <v>33</v>
      </c>
      <c r="H96" t="s">
        <v>13</v>
      </c>
      <c r="I96" s="14" t="s">
        <v>349</v>
      </c>
    </row>
    <row r="97" spans="1:9" x14ac:dyDescent="0.35">
      <c r="A97" t="s">
        <v>125</v>
      </c>
      <c r="B97" t="s">
        <v>10</v>
      </c>
      <c r="C97" t="s">
        <v>171</v>
      </c>
      <c r="D97" t="s">
        <v>279</v>
      </c>
      <c r="E97" t="s">
        <v>32</v>
      </c>
      <c r="F97" s="2">
        <v>1</v>
      </c>
      <c r="G97">
        <v>33</v>
      </c>
      <c r="H97" t="s">
        <v>13</v>
      </c>
      <c r="I97" s="14" t="s">
        <v>350</v>
      </c>
    </row>
    <row r="98" spans="1:9" x14ac:dyDescent="0.35">
      <c r="A98" t="s">
        <v>126</v>
      </c>
      <c r="B98" t="s">
        <v>10</v>
      </c>
      <c r="C98" t="s">
        <v>171</v>
      </c>
      <c r="D98" t="s">
        <v>279</v>
      </c>
      <c r="E98" t="s">
        <v>283</v>
      </c>
      <c r="F98" s="2">
        <v>444</v>
      </c>
      <c r="G98">
        <v>33</v>
      </c>
      <c r="H98" t="s">
        <v>13</v>
      </c>
      <c r="I98" s="14">
        <v>45207407002</v>
      </c>
    </row>
    <row r="99" spans="1:9" x14ac:dyDescent="0.35">
      <c r="A99" t="s">
        <v>127</v>
      </c>
      <c r="B99" t="s">
        <v>24</v>
      </c>
      <c r="C99" t="s">
        <v>25</v>
      </c>
      <c r="D99" t="s">
        <v>26</v>
      </c>
      <c r="E99" t="s">
        <v>284</v>
      </c>
      <c r="F99" s="2">
        <v>444</v>
      </c>
      <c r="G99">
        <v>33</v>
      </c>
      <c r="H99" t="s">
        <v>13</v>
      </c>
      <c r="I99" s="14">
        <v>46207425005</v>
      </c>
    </row>
    <row r="100" spans="1:9" x14ac:dyDescent="0.35">
      <c r="A100" t="s">
        <v>128</v>
      </c>
      <c r="B100" t="s">
        <v>29</v>
      </c>
      <c r="C100" t="s">
        <v>30</v>
      </c>
      <c r="D100" t="s">
        <v>31</v>
      </c>
      <c r="E100" t="s">
        <v>285</v>
      </c>
      <c r="F100" s="2">
        <v>376</v>
      </c>
      <c r="G100">
        <v>33</v>
      </c>
      <c r="H100" t="s">
        <v>13</v>
      </c>
      <c r="I100" s="14">
        <v>46107419005</v>
      </c>
    </row>
    <row r="101" spans="1:9" x14ac:dyDescent="0.35">
      <c r="A101" t="s">
        <v>129</v>
      </c>
      <c r="B101" t="s">
        <v>29</v>
      </c>
      <c r="C101" t="s">
        <v>30</v>
      </c>
      <c r="D101" t="s">
        <v>31</v>
      </c>
      <c r="E101" t="s">
        <v>286</v>
      </c>
      <c r="F101" s="2">
        <v>376</v>
      </c>
      <c r="G101">
        <v>33</v>
      </c>
      <c r="H101" t="s">
        <v>13</v>
      </c>
      <c r="I101" s="14">
        <v>46107419008</v>
      </c>
    </row>
    <row r="102" spans="1:9" x14ac:dyDescent="0.35">
      <c r="A102" t="s">
        <v>130</v>
      </c>
      <c r="B102" t="s">
        <v>29</v>
      </c>
      <c r="C102" t="s">
        <v>30</v>
      </c>
      <c r="D102" t="s">
        <v>31</v>
      </c>
      <c r="E102" t="s">
        <v>287</v>
      </c>
      <c r="F102" s="2">
        <v>179</v>
      </c>
      <c r="G102">
        <v>33</v>
      </c>
      <c r="H102" t="s">
        <v>13</v>
      </c>
      <c r="I102" s="14">
        <v>46107419002</v>
      </c>
    </row>
    <row r="103" spans="1:9" x14ac:dyDescent="0.35">
      <c r="A103" t="s">
        <v>131</v>
      </c>
      <c r="B103" t="s">
        <v>29</v>
      </c>
      <c r="C103" t="s">
        <v>30</v>
      </c>
      <c r="D103" t="s">
        <v>31</v>
      </c>
      <c r="E103" t="s">
        <v>288</v>
      </c>
      <c r="F103" s="2">
        <v>279</v>
      </c>
      <c r="G103">
        <v>33</v>
      </c>
      <c r="H103" t="s">
        <v>318</v>
      </c>
      <c r="I103" s="14">
        <v>46107419003</v>
      </c>
    </row>
    <row r="104" spans="1:9" x14ac:dyDescent="0.35">
      <c r="A104" t="s">
        <v>132</v>
      </c>
      <c r="B104" t="s">
        <v>29</v>
      </c>
      <c r="C104" t="s">
        <v>30</v>
      </c>
      <c r="D104" t="s">
        <v>31</v>
      </c>
      <c r="E104" t="s">
        <v>289</v>
      </c>
      <c r="F104" s="2">
        <v>248</v>
      </c>
      <c r="G104">
        <v>33</v>
      </c>
      <c r="H104" t="s">
        <v>13</v>
      </c>
      <c r="I104" s="14">
        <v>46107419004</v>
      </c>
    </row>
    <row r="105" spans="1:9" x14ac:dyDescent="0.35">
      <c r="A105" t="s">
        <v>133</v>
      </c>
      <c r="B105" t="s">
        <v>29</v>
      </c>
      <c r="C105" t="s">
        <v>30</v>
      </c>
      <c r="D105" t="s">
        <v>31</v>
      </c>
      <c r="E105" t="s">
        <v>290</v>
      </c>
      <c r="F105" s="2">
        <v>279</v>
      </c>
      <c r="G105">
        <v>33</v>
      </c>
      <c r="H105" t="s">
        <v>13</v>
      </c>
      <c r="I105" s="14">
        <v>46107419001</v>
      </c>
    </row>
    <row r="106" spans="1:9" x14ac:dyDescent="0.35">
      <c r="A106" t="s">
        <v>134</v>
      </c>
      <c r="B106" t="s">
        <v>29</v>
      </c>
      <c r="C106" t="s">
        <v>30</v>
      </c>
      <c r="D106" t="s">
        <v>31</v>
      </c>
      <c r="E106" t="s">
        <v>291</v>
      </c>
      <c r="F106" s="2">
        <v>53</v>
      </c>
      <c r="G106">
        <v>33</v>
      </c>
      <c r="H106" t="s">
        <v>13</v>
      </c>
      <c r="I106" s="14">
        <v>46107419009</v>
      </c>
    </row>
    <row r="107" spans="1:9" x14ac:dyDescent="0.35">
      <c r="A107" t="s">
        <v>135</v>
      </c>
      <c r="B107" t="s">
        <v>24</v>
      </c>
      <c r="C107" t="s">
        <v>25</v>
      </c>
      <c r="D107" t="s">
        <v>26</v>
      </c>
      <c r="E107" t="s">
        <v>32</v>
      </c>
      <c r="F107" s="2">
        <v>1</v>
      </c>
      <c r="G107">
        <v>33</v>
      </c>
      <c r="H107" t="s">
        <v>13</v>
      </c>
      <c r="I107" s="14" t="s">
        <v>351</v>
      </c>
    </row>
    <row r="108" spans="1:9" x14ac:dyDescent="0.35">
      <c r="A108" t="s">
        <v>136</v>
      </c>
      <c r="B108" t="s">
        <v>24</v>
      </c>
      <c r="C108" t="s">
        <v>25</v>
      </c>
      <c r="D108" t="s">
        <v>26</v>
      </c>
      <c r="E108" t="s">
        <v>292</v>
      </c>
      <c r="F108" s="2">
        <v>444</v>
      </c>
      <c r="G108">
        <v>33</v>
      </c>
      <c r="H108" t="s">
        <v>13</v>
      </c>
      <c r="I108" s="14">
        <v>46207425002</v>
      </c>
    </row>
    <row r="109" spans="1:9" x14ac:dyDescent="0.35">
      <c r="A109" t="s">
        <v>137</v>
      </c>
      <c r="B109" t="s">
        <v>24</v>
      </c>
      <c r="C109" t="s">
        <v>25</v>
      </c>
      <c r="D109" t="s">
        <v>26</v>
      </c>
      <c r="E109" t="s">
        <v>293</v>
      </c>
      <c r="F109" s="2">
        <v>279</v>
      </c>
      <c r="G109">
        <v>33</v>
      </c>
      <c r="H109" t="s">
        <v>13</v>
      </c>
      <c r="I109" s="14">
        <v>46207425007</v>
      </c>
    </row>
    <row r="110" spans="1:9" x14ac:dyDescent="0.35">
      <c r="A110" t="s">
        <v>138</v>
      </c>
      <c r="B110" t="s">
        <v>24</v>
      </c>
      <c r="C110" t="s">
        <v>25</v>
      </c>
      <c r="D110" t="s">
        <v>26</v>
      </c>
      <c r="E110" t="s">
        <v>294</v>
      </c>
      <c r="F110" s="2">
        <v>285</v>
      </c>
      <c r="G110">
        <v>33</v>
      </c>
      <c r="H110" t="s">
        <v>13</v>
      </c>
      <c r="I110" s="14">
        <v>46207425009</v>
      </c>
    </row>
    <row r="111" spans="1:9" x14ac:dyDescent="0.35">
      <c r="A111" t="s">
        <v>139</v>
      </c>
      <c r="B111" t="s">
        <v>15</v>
      </c>
      <c r="C111" t="s">
        <v>16</v>
      </c>
      <c r="D111" t="s">
        <v>236</v>
      </c>
      <c r="E111" t="s">
        <v>32</v>
      </c>
      <c r="F111" s="2">
        <v>1</v>
      </c>
      <c r="G111">
        <v>33</v>
      </c>
      <c r="H111" t="s">
        <v>13</v>
      </c>
      <c r="I111" s="14" t="s">
        <v>352</v>
      </c>
    </row>
    <row r="112" spans="1:9" x14ac:dyDescent="0.35">
      <c r="A112" t="s">
        <v>140</v>
      </c>
      <c r="B112" t="s">
        <v>176</v>
      </c>
      <c r="C112" t="s">
        <v>177</v>
      </c>
      <c r="D112" t="s">
        <v>253</v>
      </c>
      <c r="E112" t="s">
        <v>295</v>
      </c>
      <c r="F112" s="2">
        <v>106</v>
      </c>
      <c r="G112">
        <v>33</v>
      </c>
      <c r="H112" t="s">
        <v>13</v>
      </c>
      <c r="I112" s="14">
        <v>44287429003</v>
      </c>
    </row>
    <row r="113" spans="1:9" x14ac:dyDescent="0.35">
      <c r="A113" t="s">
        <v>141</v>
      </c>
      <c r="B113" t="s">
        <v>176</v>
      </c>
      <c r="C113" t="s">
        <v>177</v>
      </c>
      <c r="D113" t="s">
        <v>217</v>
      </c>
      <c r="E113" t="s">
        <v>296</v>
      </c>
      <c r="F113" s="2">
        <v>278</v>
      </c>
      <c r="G113">
        <v>33</v>
      </c>
      <c r="H113" t="s">
        <v>13</v>
      </c>
      <c r="I113" s="14">
        <v>44207415003</v>
      </c>
    </row>
    <row r="114" spans="1:9" x14ac:dyDescent="0.35">
      <c r="A114" t="s">
        <v>19</v>
      </c>
      <c r="B114" t="s">
        <v>15</v>
      </c>
      <c r="C114" t="s">
        <v>20</v>
      </c>
      <c r="D114" t="s">
        <v>21</v>
      </c>
      <c r="E114" t="s">
        <v>22</v>
      </c>
      <c r="F114" s="2">
        <v>179</v>
      </c>
      <c r="G114">
        <v>33</v>
      </c>
      <c r="H114" t="s">
        <v>13</v>
      </c>
      <c r="I114" s="14">
        <v>43207428003</v>
      </c>
    </row>
    <row r="115" spans="1:9" x14ac:dyDescent="0.35">
      <c r="A115" t="s">
        <v>142</v>
      </c>
      <c r="B115" t="s">
        <v>15</v>
      </c>
      <c r="C115" t="s">
        <v>16</v>
      </c>
      <c r="D115" t="s">
        <v>236</v>
      </c>
      <c r="E115" t="s">
        <v>297</v>
      </c>
      <c r="F115" s="2">
        <v>248</v>
      </c>
      <c r="G115">
        <v>33</v>
      </c>
      <c r="H115" t="s">
        <v>318</v>
      </c>
      <c r="I115" s="14">
        <v>43207405001</v>
      </c>
    </row>
    <row r="116" spans="1:9" x14ac:dyDescent="0.35">
      <c r="A116" t="s">
        <v>143</v>
      </c>
      <c r="B116" t="s">
        <v>15</v>
      </c>
      <c r="C116" t="s">
        <v>181</v>
      </c>
      <c r="D116" t="s">
        <v>271</v>
      </c>
      <c r="E116" t="s">
        <v>32</v>
      </c>
      <c r="F116" s="2">
        <v>1</v>
      </c>
      <c r="G116">
        <v>33</v>
      </c>
      <c r="H116" t="s">
        <v>319</v>
      </c>
      <c r="I116" s="14" t="s">
        <v>353</v>
      </c>
    </row>
    <row r="117" spans="1:9" x14ac:dyDescent="0.35">
      <c r="A117" t="s">
        <v>144</v>
      </c>
      <c r="B117" t="s">
        <v>24</v>
      </c>
      <c r="C117" t="s">
        <v>25</v>
      </c>
      <c r="D117" t="s">
        <v>204</v>
      </c>
      <c r="E117" t="s">
        <v>298</v>
      </c>
      <c r="F117" s="2">
        <v>1</v>
      </c>
      <c r="G117">
        <v>33</v>
      </c>
      <c r="H117" t="s">
        <v>319</v>
      </c>
      <c r="I117" s="14" t="s">
        <v>355</v>
      </c>
    </row>
    <row r="118" spans="1:9" x14ac:dyDescent="0.35">
      <c r="A118" t="s">
        <v>145</v>
      </c>
      <c r="B118" t="s">
        <v>15</v>
      </c>
      <c r="C118" t="s">
        <v>181</v>
      </c>
      <c r="D118" t="s">
        <v>271</v>
      </c>
      <c r="E118" t="s">
        <v>299</v>
      </c>
      <c r="F118" s="2">
        <v>285</v>
      </c>
      <c r="G118">
        <v>33</v>
      </c>
      <c r="H118" t="s">
        <v>13</v>
      </c>
      <c r="I118" s="14">
        <v>43207402004</v>
      </c>
    </row>
    <row r="119" spans="1:9" x14ac:dyDescent="0.35">
      <c r="A119" t="s">
        <v>146</v>
      </c>
      <c r="B119" t="s">
        <v>24</v>
      </c>
      <c r="C119" t="s">
        <v>173</v>
      </c>
      <c r="D119" t="s">
        <v>300</v>
      </c>
      <c r="E119" t="s">
        <v>301</v>
      </c>
      <c r="F119" s="2">
        <v>444</v>
      </c>
      <c r="G119">
        <v>33</v>
      </c>
      <c r="H119" t="s">
        <v>319</v>
      </c>
      <c r="I119" s="14">
        <v>46287431002</v>
      </c>
    </row>
    <row r="120" spans="1:9" x14ac:dyDescent="0.35">
      <c r="A120" t="s">
        <v>147</v>
      </c>
      <c r="B120" t="s">
        <v>24</v>
      </c>
      <c r="C120" t="s">
        <v>173</v>
      </c>
      <c r="D120" t="s">
        <v>300</v>
      </c>
      <c r="E120" t="s">
        <v>302</v>
      </c>
      <c r="F120" s="2">
        <v>444</v>
      </c>
      <c r="G120">
        <v>33</v>
      </c>
      <c r="H120" t="s">
        <v>319</v>
      </c>
      <c r="I120" s="14" t="e">
        <v>#N/A</v>
      </c>
    </row>
    <row r="121" spans="1:9" x14ac:dyDescent="0.35">
      <c r="A121" t="s">
        <v>148</v>
      </c>
      <c r="B121" t="s">
        <v>24</v>
      </c>
      <c r="C121" t="s">
        <v>173</v>
      </c>
      <c r="D121" t="s">
        <v>300</v>
      </c>
      <c r="E121" t="s">
        <v>303</v>
      </c>
      <c r="F121" s="2">
        <v>444</v>
      </c>
      <c r="G121">
        <v>33</v>
      </c>
      <c r="H121" t="s">
        <v>319</v>
      </c>
      <c r="I121" s="14">
        <v>46287431001</v>
      </c>
    </row>
    <row r="122" spans="1:9" x14ac:dyDescent="0.35">
      <c r="A122" t="s">
        <v>149</v>
      </c>
      <c r="B122" t="s">
        <v>176</v>
      </c>
      <c r="C122" t="s">
        <v>177</v>
      </c>
      <c r="D122" t="s">
        <v>217</v>
      </c>
      <c r="E122" t="s">
        <v>304</v>
      </c>
      <c r="F122" s="2">
        <v>444</v>
      </c>
      <c r="G122">
        <v>33</v>
      </c>
      <c r="H122" t="s">
        <v>318</v>
      </c>
      <c r="I122" s="14">
        <v>44207415001</v>
      </c>
    </row>
    <row r="123" spans="1:9" x14ac:dyDescent="0.35">
      <c r="A123" t="s">
        <v>150</v>
      </c>
      <c r="B123" t="s">
        <v>24</v>
      </c>
      <c r="C123" t="s">
        <v>173</v>
      </c>
      <c r="D123" t="s">
        <v>300</v>
      </c>
      <c r="E123" t="s">
        <v>32</v>
      </c>
      <c r="F123" s="2">
        <v>1</v>
      </c>
      <c r="G123">
        <v>33</v>
      </c>
      <c r="H123" t="s">
        <v>319</v>
      </c>
      <c r="I123" s="14" t="s">
        <v>354</v>
      </c>
    </row>
    <row r="124" spans="1:9" x14ac:dyDescent="0.35">
      <c r="A124" t="s">
        <v>23</v>
      </c>
      <c r="B124" t="s">
        <v>24</v>
      </c>
      <c r="C124" t="s">
        <v>25</v>
      </c>
      <c r="D124" t="s">
        <v>204</v>
      </c>
      <c r="E124" t="s">
        <v>27</v>
      </c>
      <c r="F124" s="2">
        <v>444</v>
      </c>
      <c r="G124">
        <v>33</v>
      </c>
      <c r="H124" t="s">
        <v>13</v>
      </c>
      <c r="I124" s="14">
        <v>46287423004</v>
      </c>
    </row>
    <row r="125" spans="1:9" x14ac:dyDescent="0.35">
      <c r="A125" t="s">
        <v>151</v>
      </c>
      <c r="B125" t="s">
        <v>10</v>
      </c>
      <c r="C125" t="s">
        <v>171</v>
      </c>
      <c r="D125" t="s">
        <v>201</v>
      </c>
      <c r="E125" t="s">
        <v>305</v>
      </c>
      <c r="F125" s="2">
        <v>248</v>
      </c>
      <c r="G125">
        <v>33</v>
      </c>
      <c r="H125" t="s">
        <v>13</v>
      </c>
      <c r="I125" s="14">
        <v>45207408006</v>
      </c>
    </row>
    <row r="126" spans="1:9" x14ac:dyDescent="0.35">
      <c r="A126" t="s">
        <v>152</v>
      </c>
      <c r="B126" t="s">
        <v>10</v>
      </c>
      <c r="C126" t="s">
        <v>171</v>
      </c>
      <c r="D126" t="s">
        <v>201</v>
      </c>
      <c r="E126" t="s">
        <v>214</v>
      </c>
      <c r="F126" s="2">
        <v>53</v>
      </c>
      <c r="G126">
        <v>33</v>
      </c>
      <c r="H126" t="s">
        <v>13</v>
      </c>
      <c r="I126" s="14">
        <v>45207408007</v>
      </c>
    </row>
    <row r="127" spans="1:9" x14ac:dyDescent="0.35">
      <c r="A127" t="s">
        <v>153</v>
      </c>
      <c r="B127" t="s">
        <v>10</v>
      </c>
      <c r="C127" t="s">
        <v>171</v>
      </c>
      <c r="D127" t="s">
        <v>201</v>
      </c>
      <c r="E127" t="s">
        <v>280</v>
      </c>
      <c r="F127" s="2">
        <v>444</v>
      </c>
      <c r="G127">
        <v>33</v>
      </c>
      <c r="H127" t="s">
        <v>13</v>
      </c>
      <c r="I127" s="14">
        <v>45207408001</v>
      </c>
    </row>
    <row r="128" spans="1:9" x14ac:dyDescent="0.35">
      <c r="A128" t="s">
        <v>154</v>
      </c>
      <c r="B128" t="s">
        <v>10</v>
      </c>
      <c r="C128" t="s">
        <v>171</v>
      </c>
      <c r="D128" t="s">
        <v>201</v>
      </c>
      <c r="E128" t="s">
        <v>306</v>
      </c>
      <c r="F128" s="2">
        <v>444</v>
      </c>
      <c r="G128">
        <v>33</v>
      </c>
      <c r="H128" t="s">
        <v>13</v>
      </c>
      <c r="I128" s="14">
        <v>45207408003</v>
      </c>
    </row>
    <row r="129" spans="1:9" x14ac:dyDescent="0.35">
      <c r="A129" t="s">
        <v>155</v>
      </c>
      <c r="B129" t="s">
        <v>10</v>
      </c>
      <c r="C129" t="s">
        <v>171</v>
      </c>
      <c r="D129" t="s">
        <v>201</v>
      </c>
      <c r="E129" t="s">
        <v>307</v>
      </c>
      <c r="F129" s="2">
        <v>279</v>
      </c>
      <c r="G129">
        <v>33</v>
      </c>
      <c r="H129" t="s">
        <v>318</v>
      </c>
      <c r="I129" s="14">
        <v>45207408004</v>
      </c>
    </row>
    <row r="130" spans="1:9" x14ac:dyDescent="0.35">
      <c r="A130" t="s">
        <v>156</v>
      </c>
      <c r="B130" t="s">
        <v>10</v>
      </c>
      <c r="C130" t="s">
        <v>171</v>
      </c>
      <c r="D130" t="s">
        <v>201</v>
      </c>
      <c r="E130" t="s">
        <v>32</v>
      </c>
      <c r="F130" s="2">
        <v>1</v>
      </c>
      <c r="G130">
        <v>33</v>
      </c>
      <c r="H130" t="s">
        <v>13</v>
      </c>
      <c r="I130" s="14" t="s">
        <v>356</v>
      </c>
    </row>
    <row r="131" spans="1:9" x14ac:dyDescent="0.35">
      <c r="A131" t="s">
        <v>157</v>
      </c>
      <c r="B131" t="s">
        <v>10</v>
      </c>
      <c r="C131" t="s">
        <v>171</v>
      </c>
      <c r="D131" t="s">
        <v>201</v>
      </c>
      <c r="E131" t="s">
        <v>308</v>
      </c>
      <c r="F131" s="2">
        <v>444</v>
      </c>
      <c r="G131">
        <v>33</v>
      </c>
      <c r="H131" t="s">
        <v>13</v>
      </c>
      <c r="I131" s="14">
        <v>45207408008</v>
      </c>
    </row>
    <row r="132" spans="1:9" x14ac:dyDescent="0.35">
      <c r="A132" t="s">
        <v>158</v>
      </c>
      <c r="B132" t="s">
        <v>10</v>
      </c>
      <c r="C132" t="s">
        <v>175</v>
      </c>
      <c r="D132" t="s">
        <v>210</v>
      </c>
      <c r="E132" t="s">
        <v>32</v>
      </c>
      <c r="F132" s="2">
        <v>1</v>
      </c>
      <c r="G132">
        <v>33</v>
      </c>
      <c r="H132" t="s">
        <v>13</v>
      </c>
      <c r="I132" s="14" t="s">
        <v>357</v>
      </c>
    </row>
    <row r="133" spans="1:9" x14ac:dyDescent="0.35">
      <c r="A133" t="s">
        <v>159</v>
      </c>
      <c r="B133" t="s">
        <v>10</v>
      </c>
      <c r="C133" t="s">
        <v>171</v>
      </c>
      <c r="D133" t="s">
        <v>201</v>
      </c>
      <c r="E133" t="s">
        <v>309</v>
      </c>
      <c r="F133" s="2">
        <v>15</v>
      </c>
      <c r="G133">
        <v>33</v>
      </c>
      <c r="H133" t="s">
        <v>13</v>
      </c>
      <c r="I133" s="14">
        <v>45207408009</v>
      </c>
    </row>
    <row r="134" spans="1:9" x14ac:dyDescent="0.35">
      <c r="A134" t="s">
        <v>160</v>
      </c>
      <c r="B134" t="s">
        <v>10</v>
      </c>
      <c r="C134" t="s">
        <v>171</v>
      </c>
      <c r="D134" t="s">
        <v>201</v>
      </c>
      <c r="E134" t="s">
        <v>310</v>
      </c>
      <c r="F134" s="2">
        <v>444</v>
      </c>
      <c r="G134">
        <v>33</v>
      </c>
      <c r="H134" t="s">
        <v>318</v>
      </c>
      <c r="I134" s="14">
        <v>45207408002</v>
      </c>
    </row>
    <row r="135" spans="1:9" x14ac:dyDescent="0.35">
      <c r="A135" t="s">
        <v>161</v>
      </c>
      <c r="B135" t="s">
        <v>15</v>
      </c>
      <c r="C135" t="s">
        <v>20</v>
      </c>
      <c r="D135" t="s">
        <v>21</v>
      </c>
      <c r="E135" t="s">
        <v>311</v>
      </c>
      <c r="F135" s="2">
        <v>106</v>
      </c>
      <c r="G135">
        <v>33</v>
      </c>
      <c r="H135" t="s">
        <v>318</v>
      </c>
      <c r="I135" s="14">
        <v>43207428001</v>
      </c>
    </row>
    <row r="136" spans="1:9" x14ac:dyDescent="0.35">
      <c r="A136" t="s">
        <v>162</v>
      </c>
      <c r="B136" t="s">
        <v>15</v>
      </c>
      <c r="C136" t="s">
        <v>16</v>
      </c>
      <c r="D136" t="s">
        <v>236</v>
      </c>
      <c r="E136" t="s">
        <v>312</v>
      </c>
      <c r="F136" s="2">
        <v>15</v>
      </c>
      <c r="G136">
        <v>33</v>
      </c>
      <c r="H136" t="s">
        <v>13</v>
      </c>
      <c r="I136" s="14">
        <v>43207405002</v>
      </c>
    </row>
    <row r="137" spans="1:9" x14ac:dyDescent="0.35">
      <c r="A137" t="s">
        <v>163</v>
      </c>
      <c r="B137" t="s">
        <v>176</v>
      </c>
      <c r="C137" t="s">
        <v>177</v>
      </c>
      <c r="D137" t="s">
        <v>320</v>
      </c>
      <c r="E137" t="s">
        <v>313</v>
      </c>
      <c r="F137" s="2">
        <v>329</v>
      </c>
      <c r="G137">
        <v>33</v>
      </c>
      <c r="H137" t="s">
        <v>13</v>
      </c>
      <c r="I137" s="14">
        <v>44287414005</v>
      </c>
    </row>
    <row r="138" spans="1:9" x14ac:dyDescent="0.35">
      <c r="A138" t="s">
        <v>164</v>
      </c>
      <c r="B138" t="s">
        <v>176</v>
      </c>
      <c r="C138" t="s">
        <v>177</v>
      </c>
      <c r="D138" t="s">
        <v>320</v>
      </c>
      <c r="E138" t="s">
        <v>314</v>
      </c>
      <c r="F138" s="2">
        <v>444</v>
      </c>
      <c r="G138">
        <v>33</v>
      </c>
      <c r="H138" t="s">
        <v>318</v>
      </c>
      <c r="I138" s="14">
        <v>44287414002</v>
      </c>
    </row>
    <row r="139" spans="1:9" x14ac:dyDescent="0.35">
      <c r="A139" t="s">
        <v>165</v>
      </c>
      <c r="B139" t="s">
        <v>176</v>
      </c>
      <c r="C139" t="s">
        <v>177</v>
      </c>
      <c r="D139" t="s">
        <v>320</v>
      </c>
      <c r="E139" t="s">
        <v>315</v>
      </c>
      <c r="F139" s="2">
        <v>296</v>
      </c>
      <c r="G139">
        <v>33</v>
      </c>
      <c r="H139" t="s">
        <v>318</v>
      </c>
      <c r="I139" s="14">
        <v>44287414004</v>
      </c>
    </row>
    <row r="140" spans="1:9" x14ac:dyDescent="0.35">
      <c r="A140" t="s">
        <v>166</v>
      </c>
      <c r="B140" t="s">
        <v>176</v>
      </c>
      <c r="C140" t="s">
        <v>180</v>
      </c>
      <c r="D140" t="s">
        <v>320</v>
      </c>
      <c r="E140" t="s">
        <v>316</v>
      </c>
      <c r="F140" s="2">
        <v>444</v>
      </c>
      <c r="G140">
        <v>33</v>
      </c>
      <c r="H140" t="s">
        <v>13</v>
      </c>
      <c r="I140" s="14">
        <v>44287414001</v>
      </c>
    </row>
    <row r="141" spans="1:9" x14ac:dyDescent="0.35">
      <c r="A141" t="s">
        <v>167</v>
      </c>
      <c r="B141" t="s">
        <v>15</v>
      </c>
      <c r="C141" t="s">
        <v>179</v>
      </c>
      <c r="D141" t="s">
        <v>238</v>
      </c>
      <c r="E141" t="s">
        <v>317</v>
      </c>
      <c r="F141" s="2">
        <v>376</v>
      </c>
      <c r="G141">
        <v>33</v>
      </c>
      <c r="H141" t="s">
        <v>318</v>
      </c>
      <c r="I141" s="14">
        <v>43207406006</v>
      </c>
    </row>
    <row r="142" spans="1:9" x14ac:dyDescent="0.35">
      <c r="A142" t="s">
        <v>168</v>
      </c>
      <c r="B142" t="s">
        <v>15</v>
      </c>
      <c r="C142" t="s">
        <v>179</v>
      </c>
      <c r="D142" t="s">
        <v>238</v>
      </c>
      <c r="E142" t="s">
        <v>32</v>
      </c>
      <c r="F142" s="2">
        <v>1</v>
      </c>
      <c r="G142">
        <v>33</v>
      </c>
      <c r="H142" t="s">
        <v>13</v>
      </c>
      <c r="I142" s="14" t="s">
        <v>358</v>
      </c>
    </row>
    <row r="143" spans="1:9" x14ac:dyDescent="0.35">
      <c r="A143" t="s">
        <v>169</v>
      </c>
      <c r="B143" t="s">
        <v>176</v>
      </c>
      <c r="C143" t="s">
        <v>180</v>
      </c>
      <c r="D143" t="s">
        <v>320</v>
      </c>
      <c r="E143" t="s">
        <v>32</v>
      </c>
      <c r="F143" s="2">
        <v>1</v>
      </c>
      <c r="G143">
        <v>33</v>
      </c>
      <c r="H143" t="s">
        <v>13</v>
      </c>
      <c r="I143" s="14" t="s">
        <v>359</v>
      </c>
    </row>
  </sheetData>
  <autoFilter ref="A1:I143" xr:uid="{C9DFF51F-9C4B-4A23-AB13-3A9178BA89F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4849-7AAA-4A43-B68C-F1A498FF61F3}">
  <dimension ref="A1:I121"/>
  <sheetViews>
    <sheetView topLeftCell="C66" workbookViewId="0">
      <selection activeCell="E28" sqref="E28"/>
    </sheetView>
  </sheetViews>
  <sheetFormatPr defaultRowHeight="14.5" x14ac:dyDescent="0.35"/>
  <cols>
    <col min="1" max="1" width="9.6328125" bestFit="1" customWidth="1"/>
    <col min="2" max="2" width="15" bestFit="1" customWidth="1"/>
    <col min="3" max="3" width="26.453125" bestFit="1" customWidth="1"/>
    <col min="4" max="4" width="30.36328125" bestFit="1" customWidth="1"/>
    <col min="5" max="5" width="29.90625" bestFit="1" customWidth="1"/>
    <col min="6" max="6" width="19.6328125" bestFit="1" customWidth="1"/>
    <col min="7" max="7" width="32.7265625" customWidth="1"/>
    <col min="8" max="8" width="11.81640625" bestFit="1" customWidth="1"/>
  </cols>
  <sheetData>
    <row r="1" spans="1:9" ht="15" thickBot="1" x14ac:dyDescent="0.4">
      <c r="A1" s="4" t="s">
        <v>322</v>
      </c>
      <c r="B1" s="5" t="s">
        <v>323</v>
      </c>
      <c r="C1" s="5" t="s">
        <v>324</v>
      </c>
      <c r="D1" s="5" t="s">
        <v>325</v>
      </c>
      <c r="E1" s="5" t="s">
        <v>326</v>
      </c>
      <c r="F1" s="5" t="s">
        <v>327</v>
      </c>
    </row>
    <row r="2" spans="1:9" ht="15" thickBot="1" x14ac:dyDescent="0.4">
      <c r="A2" s="6" t="s">
        <v>15</v>
      </c>
      <c r="B2" s="7" t="s">
        <v>20</v>
      </c>
      <c r="C2" s="7" t="s">
        <v>21</v>
      </c>
      <c r="D2" s="7" t="s">
        <v>334</v>
      </c>
      <c r="E2" s="8">
        <v>468</v>
      </c>
      <c r="F2" s="9">
        <v>374.4</v>
      </c>
      <c r="G2">
        <f>SUMIFS(FeederMaster!F:F,FeederMaster!E:E,Sheet1!D2)</f>
        <v>0</v>
      </c>
      <c r="H2">
        <f>F2/E2</f>
        <v>0.79999999999999993</v>
      </c>
      <c r="I2">
        <f>E2*0.95</f>
        <v>444.59999999999997</v>
      </c>
    </row>
    <row r="3" spans="1:9" ht="15" thickBot="1" x14ac:dyDescent="0.4">
      <c r="A3" s="10" t="s">
        <v>15</v>
      </c>
      <c r="B3" s="11" t="s">
        <v>20</v>
      </c>
      <c r="C3" s="11" t="s">
        <v>21</v>
      </c>
      <c r="D3" s="11" t="s">
        <v>311</v>
      </c>
      <c r="E3" s="12"/>
      <c r="F3" s="9">
        <v>0</v>
      </c>
      <c r="G3">
        <f>SUMIFS(FeederMaster!F:F,FeederMaster!E:E,Sheet1!D3)</f>
        <v>106</v>
      </c>
      <c r="H3" t="e">
        <f>F3/E3</f>
        <v>#DIV/0!</v>
      </c>
    </row>
    <row r="4" spans="1:9" ht="15" thickBot="1" x14ac:dyDescent="0.4">
      <c r="A4" s="6" t="s">
        <v>15</v>
      </c>
      <c r="B4" s="7" t="s">
        <v>20</v>
      </c>
      <c r="C4" s="7" t="s">
        <v>21</v>
      </c>
      <c r="D4" s="7" t="s">
        <v>328</v>
      </c>
      <c r="E4" s="13">
        <v>189</v>
      </c>
      <c r="F4" s="9">
        <v>151.19999999999999</v>
      </c>
      <c r="G4">
        <f>SUMIFS(FeederMaster!F:F,FeederMaster!E:E,Sheet1!D4)</f>
        <v>0</v>
      </c>
      <c r="H4">
        <f t="shared" ref="H4:H66" si="0">F4/E4</f>
        <v>0.79999999999999993</v>
      </c>
    </row>
    <row r="5" spans="1:9" ht="15" thickBot="1" x14ac:dyDescent="0.4">
      <c r="A5" s="10" t="s">
        <v>15</v>
      </c>
      <c r="B5" s="11" t="s">
        <v>20</v>
      </c>
      <c r="C5" s="11" t="s">
        <v>321</v>
      </c>
      <c r="D5" s="11" t="s">
        <v>268</v>
      </c>
      <c r="E5" s="13">
        <v>395</v>
      </c>
      <c r="F5" s="9">
        <v>316</v>
      </c>
      <c r="G5">
        <f>SUMIFS(FeederMaster!F:F,FeederMaster!E:E,Sheet1!D5)</f>
        <v>53</v>
      </c>
      <c r="H5">
        <f t="shared" si="0"/>
        <v>0.8</v>
      </c>
    </row>
    <row r="6" spans="1:9" ht="16.5" customHeight="1" thickBot="1" x14ac:dyDescent="0.4">
      <c r="A6" s="6" t="s">
        <v>15</v>
      </c>
      <c r="B6" s="7" t="s">
        <v>20</v>
      </c>
      <c r="C6" s="7" t="s">
        <v>321</v>
      </c>
      <c r="D6" s="7" t="s">
        <v>282</v>
      </c>
      <c r="E6" s="13">
        <v>395</v>
      </c>
      <c r="F6" s="9">
        <v>316</v>
      </c>
      <c r="G6">
        <f>SUMIFS(FeederMaster!F:F,FeederMaster!E:E,Sheet1!D6)</f>
        <v>376</v>
      </c>
      <c r="H6">
        <f t="shared" si="0"/>
        <v>0.8</v>
      </c>
    </row>
    <row r="7" spans="1:9" ht="15" thickBot="1" x14ac:dyDescent="0.4">
      <c r="A7" s="10" t="s">
        <v>15</v>
      </c>
      <c r="B7" s="11" t="s">
        <v>20</v>
      </c>
      <c r="C7" s="11" t="s">
        <v>321</v>
      </c>
      <c r="D7" s="11" t="s">
        <v>270</v>
      </c>
      <c r="E7" s="13">
        <v>300</v>
      </c>
      <c r="F7" s="9">
        <v>240</v>
      </c>
      <c r="G7">
        <f>SUMIFS(FeederMaster!F:F,FeederMaster!E:E,Sheet1!D7)</f>
        <v>285</v>
      </c>
      <c r="H7">
        <f t="shared" si="0"/>
        <v>0.8</v>
      </c>
    </row>
    <row r="8" spans="1:9" ht="15" thickBot="1" x14ac:dyDescent="0.4">
      <c r="A8" s="6" t="s">
        <v>15</v>
      </c>
      <c r="B8" s="7" t="s">
        <v>20</v>
      </c>
      <c r="C8" s="7" t="s">
        <v>321</v>
      </c>
      <c r="D8" s="7" t="s">
        <v>278</v>
      </c>
      <c r="E8" s="8">
        <v>468</v>
      </c>
      <c r="F8" s="9">
        <v>374.4</v>
      </c>
      <c r="G8">
        <f>SUMIFS(FeederMaster!F:F,FeederMaster!E:E,Sheet1!D8)</f>
        <v>444</v>
      </c>
      <c r="H8">
        <f t="shared" si="0"/>
        <v>0.79999999999999993</v>
      </c>
    </row>
    <row r="9" spans="1:9" ht="15" thickBot="1" x14ac:dyDescent="0.4">
      <c r="A9" s="10" t="s">
        <v>15</v>
      </c>
      <c r="B9" s="11" t="s">
        <v>20</v>
      </c>
      <c r="C9" s="11" t="s">
        <v>321</v>
      </c>
      <c r="D9" s="11" t="s">
        <v>266</v>
      </c>
      <c r="E9" s="13">
        <v>395</v>
      </c>
      <c r="F9" s="9">
        <v>316</v>
      </c>
      <c r="G9">
        <f>SUMIFS(FeederMaster!F:F,FeederMaster!E:E,Sheet1!D9)</f>
        <v>376</v>
      </c>
      <c r="H9">
        <f t="shared" si="0"/>
        <v>0.8</v>
      </c>
    </row>
    <row r="10" spans="1:9" ht="15" thickBot="1" x14ac:dyDescent="0.4">
      <c r="A10" s="6" t="s">
        <v>15</v>
      </c>
      <c r="B10" s="7" t="s">
        <v>181</v>
      </c>
      <c r="C10" s="7" t="s">
        <v>271</v>
      </c>
      <c r="D10" s="7" t="s">
        <v>274</v>
      </c>
      <c r="E10" s="9">
        <v>293</v>
      </c>
      <c r="F10" s="9">
        <v>234</v>
      </c>
      <c r="G10">
        <f>SUMIFS(FeederMaster!F:F,FeederMaster!E:E,Sheet1!D10)</f>
        <v>279</v>
      </c>
      <c r="H10">
        <f t="shared" si="0"/>
        <v>0.79863481228668942</v>
      </c>
    </row>
    <row r="11" spans="1:9" ht="15" thickBot="1" x14ac:dyDescent="0.4">
      <c r="A11" s="10" t="s">
        <v>15</v>
      </c>
      <c r="B11" s="11" t="s">
        <v>181</v>
      </c>
      <c r="C11" s="11" t="s">
        <v>271</v>
      </c>
      <c r="D11" s="11" t="s">
        <v>273</v>
      </c>
      <c r="E11" s="9">
        <v>293</v>
      </c>
      <c r="F11" s="9">
        <v>234</v>
      </c>
      <c r="G11">
        <f>SUMIFS(FeederMaster!F:F,FeederMaster!E:E,Sheet1!D11)</f>
        <v>279</v>
      </c>
      <c r="H11">
        <f t="shared" si="0"/>
        <v>0.79863481228668942</v>
      </c>
    </row>
    <row r="12" spans="1:9" ht="15" thickBot="1" x14ac:dyDescent="0.4">
      <c r="A12" s="6" t="s">
        <v>15</v>
      </c>
      <c r="B12" s="7" t="s">
        <v>181</v>
      </c>
      <c r="C12" s="7" t="s">
        <v>271</v>
      </c>
      <c r="D12" s="7" t="s">
        <v>272</v>
      </c>
      <c r="E12" s="13">
        <v>300</v>
      </c>
      <c r="F12" s="9">
        <v>240</v>
      </c>
      <c r="G12">
        <f>SUMIFS(FeederMaster!F:F,FeederMaster!E:E,Sheet1!D12)</f>
        <v>285</v>
      </c>
      <c r="H12">
        <f t="shared" si="0"/>
        <v>0.8</v>
      </c>
    </row>
    <row r="13" spans="1:9" ht="15" thickBot="1" x14ac:dyDescent="0.4">
      <c r="A13" s="10" t="s">
        <v>15</v>
      </c>
      <c r="B13" s="11" t="s">
        <v>181</v>
      </c>
      <c r="C13" s="11" t="s">
        <v>271</v>
      </c>
      <c r="D13" s="11" t="s">
        <v>299</v>
      </c>
      <c r="E13" s="13">
        <v>300</v>
      </c>
      <c r="F13" s="9">
        <v>240</v>
      </c>
      <c r="G13">
        <f>SUMIFS(FeederMaster!F:F,FeederMaster!E:E,Sheet1!D13)</f>
        <v>285</v>
      </c>
      <c r="H13">
        <f t="shared" si="0"/>
        <v>0.8</v>
      </c>
    </row>
    <row r="14" spans="1:9" ht="15" thickBot="1" x14ac:dyDescent="0.4">
      <c r="A14" s="10" t="s">
        <v>15</v>
      </c>
      <c r="B14" s="11" t="s">
        <v>16</v>
      </c>
      <c r="C14" s="11" t="s">
        <v>236</v>
      </c>
      <c r="D14" s="11" t="s">
        <v>312</v>
      </c>
      <c r="E14" s="12"/>
      <c r="F14" s="9">
        <v>0</v>
      </c>
      <c r="G14">
        <f>SUMIFS(FeederMaster!F:F,FeederMaster!E:E,Sheet1!D14)</f>
        <v>15</v>
      </c>
      <c r="H14" t="e">
        <f t="shared" si="0"/>
        <v>#DIV/0!</v>
      </c>
    </row>
    <row r="15" spans="1:9" ht="15" thickBot="1" x14ac:dyDescent="0.4">
      <c r="A15" s="6" t="s">
        <v>15</v>
      </c>
      <c r="B15" s="7" t="s">
        <v>16</v>
      </c>
      <c r="C15" s="7" t="s">
        <v>236</v>
      </c>
      <c r="D15" s="7" t="s">
        <v>237</v>
      </c>
      <c r="E15" s="8">
        <v>468</v>
      </c>
      <c r="F15" s="9">
        <v>374.4</v>
      </c>
      <c r="G15">
        <f>SUMIFS(FeederMaster!F:F,FeederMaster!E:E,Sheet1!D15)</f>
        <v>444</v>
      </c>
      <c r="H15">
        <f t="shared" si="0"/>
        <v>0.79999999999999993</v>
      </c>
    </row>
    <row r="16" spans="1:9" ht="15" thickBot="1" x14ac:dyDescent="0.4">
      <c r="A16" s="10" t="s">
        <v>15</v>
      </c>
      <c r="B16" s="11" t="s">
        <v>16</v>
      </c>
      <c r="C16" s="11" t="s">
        <v>236</v>
      </c>
      <c r="D16" s="11" t="s">
        <v>297</v>
      </c>
      <c r="E16" s="8">
        <v>261</v>
      </c>
      <c r="F16" s="9">
        <v>208.8</v>
      </c>
      <c r="G16">
        <f>SUMIFS(FeederMaster!F:F,FeederMaster!E:E,Sheet1!D16)</f>
        <v>248</v>
      </c>
      <c r="H16">
        <f t="shared" si="0"/>
        <v>0.8</v>
      </c>
    </row>
    <row r="17" spans="1:8" ht="15" thickBot="1" x14ac:dyDescent="0.4">
      <c r="A17" s="6" t="s">
        <v>15</v>
      </c>
      <c r="B17" s="7" t="s">
        <v>16</v>
      </c>
      <c r="C17" s="7" t="s">
        <v>17</v>
      </c>
      <c r="D17" s="7" t="s">
        <v>18</v>
      </c>
      <c r="E17" s="9">
        <v>293</v>
      </c>
      <c r="F17" s="9">
        <v>234</v>
      </c>
      <c r="G17">
        <f>SUMIFS(FeederMaster!F:F,FeederMaster!E:E,Sheet1!D17)</f>
        <v>279</v>
      </c>
      <c r="H17">
        <f t="shared" si="0"/>
        <v>0.79863481228668942</v>
      </c>
    </row>
    <row r="18" spans="1:8" ht="15" thickBot="1" x14ac:dyDescent="0.4">
      <c r="A18" s="6" t="s">
        <v>15</v>
      </c>
      <c r="B18" s="7" t="s">
        <v>16</v>
      </c>
      <c r="C18" s="7" t="s">
        <v>321</v>
      </c>
      <c r="D18" s="7" t="s">
        <v>276</v>
      </c>
      <c r="E18" s="9">
        <v>293</v>
      </c>
      <c r="F18" s="9">
        <v>234</v>
      </c>
      <c r="G18">
        <f>SUMIFS(FeederMaster!F:F,FeederMaster!E:E,Sheet1!D18)</f>
        <v>279</v>
      </c>
      <c r="H18">
        <f t="shared" si="0"/>
        <v>0.79863481228668942</v>
      </c>
    </row>
    <row r="19" spans="1:8" ht="15" thickBot="1" x14ac:dyDescent="0.4">
      <c r="A19" s="10" t="s">
        <v>15</v>
      </c>
      <c r="B19" s="11" t="s">
        <v>16</v>
      </c>
      <c r="C19" s="11" t="s">
        <v>321</v>
      </c>
      <c r="D19" s="11" t="s">
        <v>267</v>
      </c>
      <c r="E19" s="8">
        <v>468</v>
      </c>
      <c r="F19" s="9">
        <v>374.4</v>
      </c>
      <c r="G19">
        <f>SUMIFS(FeederMaster!F:F,FeederMaster!E:E,Sheet1!D19)</f>
        <v>444</v>
      </c>
      <c r="H19">
        <f t="shared" si="0"/>
        <v>0.79999999999999993</v>
      </c>
    </row>
    <row r="20" spans="1:8" ht="15" thickBot="1" x14ac:dyDescent="0.4">
      <c r="A20" s="6" t="s">
        <v>15</v>
      </c>
      <c r="B20" s="7" t="s">
        <v>16</v>
      </c>
      <c r="C20" s="7" t="s">
        <v>321</v>
      </c>
      <c r="D20" s="7" t="s">
        <v>277</v>
      </c>
      <c r="E20" s="9">
        <v>293</v>
      </c>
      <c r="F20" s="9">
        <v>234</v>
      </c>
      <c r="G20">
        <f>SUMIFS(FeederMaster!F:F,FeederMaster!E:E,Sheet1!D20)</f>
        <v>279</v>
      </c>
      <c r="H20">
        <f t="shared" si="0"/>
        <v>0.79863481228668942</v>
      </c>
    </row>
    <row r="21" spans="1:8" ht="15" thickBot="1" x14ac:dyDescent="0.4">
      <c r="A21" s="10" t="s">
        <v>15</v>
      </c>
      <c r="B21" s="11" t="s">
        <v>16</v>
      </c>
      <c r="C21" s="11" t="s">
        <v>321</v>
      </c>
      <c r="D21" s="11" t="s">
        <v>269</v>
      </c>
      <c r="E21" s="9">
        <v>293</v>
      </c>
      <c r="F21" s="9">
        <v>234</v>
      </c>
      <c r="G21">
        <f>SUMIFS(FeederMaster!F:F,FeederMaster!E:E,Sheet1!D21)</f>
        <v>279</v>
      </c>
      <c r="H21">
        <f t="shared" si="0"/>
        <v>0.79863481228668942</v>
      </c>
    </row>
    <row r="22" spans="1:8" ht="15" thickBot="1" x14ac:dyDescent="0.4">
      <c r="A22" s="6" t="s">
        <v>15</v>
      </c>
      <c r="B22" s="7" t="s">
        <v>16</v>
      </c>
      <c r="C22" s="7" t="s">
        <v>321</v>
      </c>
      <c r="D22" s="7" t="s">
        <v>258</v>
      </c>
      <c r="E22" s="8">
        <v>261</v>
      </c>
      <c r="F22" s="9">
        <v>208.8</v>
      </c>
      <c r="G22">
        <f>SUMIFS(FeederMaster!F:F,FeederMaster!E:E,Sheet1!D22)</f>
        <v>248</v>
      </c>
      <c r="H22">
        <f t="shared" si="0"/>
        <v>0.8</v>
      </c>
    </row>
    <row r="23" spans="1:8" ht="15" thickBot="1" x14ac:dyDescent="0.4">
      <c r="A23" s="10" t="s">
        <v>15</v>
      </c>
      <c r="B23" s="11" t="s">
        <v>16</v>
      </c>
      <c r="C23" s="11" t="s">
        <v>321</v>
      </c>
      <c r="D23" s="11" t="s">
        <v>275</v>
      </c>
      <c r="E23" s="13">
        <v>189</v>
      </c>
      <c r="F23" s="9">
        <v>151.19999999999999</v>
      </c>
      <c r="G23">
        <f>SUMIFS(FeederMaster!F:F,FeederMaster!E:E,Sheet1!D23)</f>
        <v>179</v>
      </c>
      <c r="H23">
        <f t="shared" si="0"/>
        <v>0.79999999999999993</v>
      </c>
    </row>
    <row r="24" spans="1:8" ht="15" thickBot="1" x14ac:dyDescent="0.4">
      <c r="A24" s="10" t="s">
        <v>15</v>
      </c>
      <c r="B24" s="11" t="s">
        <v>172</v>
      </c>
      <c r="C24" s="11" t="s">
        <v>213</v>
      </c>
      <c r="D24" s="11" t="s">
        <v>220</v>
      </c>
      <c r="E24" s="8">
        <v>468</v>
      </c>
      <c r="F24" s="9">
        <v>374.4</v>
      </c>
      <c r="G24">
        <f>SUMIFS(FeederMaster!F:F,FeederMaster!E:E,Sheet1!D24)</f>
        <v>444</v>
      </c>
      <c r="H24">
        <f t="shared" si="0"/>
        <v>0.79999999999999993</v>
      </c>
    </row>
    <row r="25" spans="1:8" ht="15" thickBot="1" x14ac:dyDescent="0.4">
      <c r="A25" s="6" t="s">
        <v>15</v>
      </c>
      <c r="B25" s="7" t="s">
        <v>172</v>
      </c>
      <c r="C25" s="7" t="s">
        <v>213</v>
      </c>
      <c r="D25" s="7" t="s">
        <v>216</v>
      </c>
      <c r="E25" s="9">
        <v>293</v>
      </c>
      <c r="F25" s="9">
        <v>234</v>
      </c>
      <c r="G25">
        <f>SUMIFS(FeederMaster!F:F,FeederMaster!E:E,Sheet1!D25)</f>
        <v>279</v>
      </c>
      <c r="H25">
        <f t="shared" si="0"/>
        <v>0.79863481228668942</v>
      </c>
    </row>
    <row r="26" spans="1:8" ht="15" thickBot="1" x14ac:dyDescent="0.4">
      <c r="A26" s="10" t="s">
        <v>15</v>
      </c>
      <c r="B26" s="11" t="s">
        <v>172</v>
      </c>
      <c r="C26" s="11" t="s">
        <v>191</v>
      </c>
      <c r="D26" s="11" t="s">
        <v>265</v>
      </c>
      <c r="E26" s="13">
        <v>300</v>
      </c>
      <c r="F26" s="9">
        <v>240</v>
      </c>
      <c r="G26">
        <f>SUMIFS(FeederMaster!F:F,FeederMaster!E:E,Sheet1!D26)</f>
        <v>285</v>
      </c>
      <c r="H26">
        <f t="shared" si="0"/>
        <v>0.8</v>
      </c>
    </row>
    <row r="27" spans="1:8" ht="15" thickBot="1" x14ac:dyDescent="0.4">
      <c r="A27" s="6" t="s">
        <v>15</v>
      </c>
      <c r="B27" s="7" t="s">
        <v>172</v>
      </c>
      <c r="C27" s="7" t="s">
        <v>191</v>
      </c>
      <c r="D27" s="7" t="s">
        <v>193</v>
      </c>
      <c r="E27" s="8">
        <v>261</v>
      </c>
      <c r="F27" s="9">
        <v>208.8</v>
      </c>
      <c r="G27">
        <f>SUMIFS(FeederMaster!F:F,FeederMaster!E:E,Sheet1!D27)</f>
        <v>248</v>
      </c>
      <c r="H27">
        <f t="shared" si="0"/>
        <v>0.8</v>
      </c>
    </row>
    <row r="28" spans="1:8" ht="15" thickBot="1" x14ac:dyDescent="0.4">
      <c r="A28" s="10" t="s">
        <v>15</v>
      </c>
      <c r="B28" s="11" t="s">
        <v>172</v>
      </c>
      <c r="C28" s="11" t="s">
        <v>191</v>
      </c>
      <c r="D28" s="11" t="s">
        <v>192</v>
      </c>
      <c r="E28" s="9">
        <v>293</v>
      </c>
      <c r="F28" s="9">
        <v>234</v>
      </c>
      <c r="G28">
        <f>SUMIFS(FeederMaster!F:F,FeederMaster!E:E,Sheet1!D28)</f>
        <v>279</v>
      </c>
      <c r="H28">
        <f t="shared" si="0"/>
        <v>0.79863481228668942</v>
      </c>
    </row>
    <row r="29" spans="1:8" ht="15" thickBot="1" x14ac:dyDescent="0.4">
      <c r="A29" s="6" t="s">
        <v>15</v>
      </c>
      <c r="B29" s="7" t="s">
        <v>172</v>
      </c>
      <c r="C29" s="7" t="s">
        <v>191</v>
      </c>
      <c r="D29" s="7" t="s">
        <v>222</v>
      </c>
      <c r="E29" s="13">
        <v>300</v>
      </c>
      <c r="F29" s="9">
        <v>240</v>
      </c>
      <c r="G29">
        <f>SUMIFS(FeederMaster!F:F,FeederMaster!E:E,Sheet1!D29)</f>
        <v>285</v>
      </c>
      <c r="H29">
        <f t="shared" si="0"/>
        <v>0.8</v>
      </c>
    </row>
    <row r="30" spans="1:8" ht="15" thickBot="1" x14ac:dyDescent="0.4">
      <c r="A30" s="6" t="s">
        <v>15</v>
      </c>
      <c r="B30" s="7" t="s">
        <v>179</v>
      </c>
      <c r="C30" s="7" t="s">
        <v>238</v>
      </c>
      <c r="D30" s="7" t="s">
        <v>261</v>
      </c>
      <c r="E30" s="8">
        <v>468</v>
      </c>
      <c r="F30" s="9">
        <v>374.4</v>
      </c>
      <c r="G30">
        <f>SUMIFS(FeederMaster!F:F,FeederMaster!E:E,Sheet1!D30)</f>
        <v>444</v>
      </c>
      <c r="H30">
        <f t="shared" si="0"/>
        <v>0.79999999999999993</v>
      </c>
    </row>
    <row r="31" spans="1:8" ht="15" thickBot="1" x14ac:dyDescent="0.4">
      <c r="A31" s="10" t="s">
        <v>15</v>
      </c>
      <c r="B31" s="11" t="s">
        <v>179</v>
      </c>
      <c r="C31" s="11" t="s">
        <v>238</v>
      </c>
      <c r="D31" s="11" t="s">
        <v>259</v>
      </c>
      <c r="E31" s="8">
        <v>468</v>
      </c>
      <c r="F31" s="9">
        <v>374.4</v>
      </c>
      <c r="G31">
        <f>SUMIFS(FeederMaster!F:F,FeederMaster!E:E,Sheet1!D31)</f>
        <v>444</v>
      </c>
      <c r="H31">
        <f t="shared" si="0"/>
        <v>0.79999999999999993</v>
      </c>
    </row>
    <row r="32" spans="1:8" ht="15" thickBot="1" x14ac:dyDescent="0.4">
      <c r="A32" s="6" t="s">
        <v>15</v>
      </c>
      <c r="B32" s="7" t="s">
        <v>179</v>
      </c>
      <c r="C32" s="7" t="s">
        <v>238</v>
      </c>
      <c r="D32" s="7" t="s">
        <v>239</v>
      </c>
      <c r="E32" s="13">
        <v>347</v>
      </c>
      <c r="F32" s="9">
        <v>277.60000000000002</v>
      </c>
      <c r="G32">
        <f>SUMIFS(FeederMaster!F:F,FeederMaster!E:E,Sheet1!D32)</f>
        <v>329</v>
      </c>
      <c r="H32">
        <f t="shared" si="0"/>
        <v>0.8</v>
      </c>
    </row>
    <row r="33" spans="1:8" ht="15" thickBot="1" x14ac:dyDescent="0.4">
      <c r="A33" s="10" t="s">
        <v>15</v>
      </c>
      <c r="B33" s="11" t="s">
        <v>179</v>
      </c>
      <c r="C33" s="11" t="s">
        <v>238</v>
      </c>
      <c r="D33" s="11" t="s">
        <v>260</v>
      </c>
      <c r="E33" s="9">
        <v>293</v>
      </c>
      <c r="F33" s="9">
        <v>234</v>
      </c>
      <c r="G33">
        <f>SUMIFS(FeederMaster!F:F,FeederMaster!E:E,Sheet1!D33)</f>
        <v>279</v>
      </c>
      <c r="H33">
        <f t="shared" si="0"/>
        <v>0.79863481228668942</v>
      </c>
    </row>
    <row r="34" spans="1:8" ht="15" thickBot="1" x14ac:dyDescent="0.4">
      <c r="A34" s="6" t="s">
        <v>15</v>
      </c>
      <c r="B34" s="7" t="s">
        <v>179</v>
      </c>
      <c r="C34" s="7" t="s">
        <v>238</v>
      </c>
      <c r="D34" s="7" t="s">
        <v>317</v>
      </c>
      <c r="E34" s="13">
        <v>395</v>
      </c>
      <c r="F34" s="9">
        <v>316</v>
      </c>
      <c r="G34">
        <f>SUMIFS(FeederMaster!F:F,FeederMaster!E:E,Sheet1!D34)</f>
        <v>376</v>
      </c>
      <c r="H34">
        <f t="shared" si="0"/>
        <v>0.8</v>
      </c>
    </row>
    <row r="35" spans="1:8" ht="15" thickBot="1" x14ac:dyDescent="0.4">
      <c r="A35" s="6" t="s">
        <v>10</v>
      </c>
      <c r="B35" s="7" t="s">
        <v>171</v>
      </c>
      <c r="C35" s="7" t="s">
        <v>279</v>
      </c>
      <c r="D35" s="7" t="s">
        <v>280</v>
      </c>
      <c r="E35" s="9">
        <v>468</v>
      </c>
      <c r="F35" s="9">
        <v>374.4</v>
      </c>
      <c r="G35">
        <f>SUMIFS(FeederMaster!F:F,FeederMaster!E:E,Sheet1!D35)</f>
        <v>888</v>
      </c>
      <c r="H35">
        <f t="shared" si="0"/>
        <v>0.79999999999999993</v>
      </c>
    </row>
    <row r="36" spans="1:8" ht="15" thickBot="1" x14ac:dyDescent="0.4">
      <c r="A36" s="10" t="s">
        <v>10</v>
      </c>
      <c r="B36" s="11" t="s">
        <v>171</v>
      </c>
      <c r="C36" s="11" t="s">
        <v>279</v>
      </c>
      <c r="D36" s="11" t="s">
        <v>283</v>
      </c>
      <c r="E36" s="9">
        <v>468</v>
      </c>
      <c r="F36" s="9">
        <v>374.4</v>
      </c>
      <c r="G36">
        <f>SUMIFS(FeederMaster!F:F,FeederMaster!E:E,Sheet1!D36)</f>
        <v>444</v>
      </c>
      <c r="H36">
        <f t="shared" si="0"/>
        <v>0.79999999999999993</v>
      </c>
    </row>
    <row r="37" spans="1:8" ht="15" thickBot="1" x14ac:dyDescent="0.4">
      <c r="A37" s="10" t="s">
        <v>10</v>
      </c>
      <c r="B37" s="11" t="s">
        <v>171</v>
      </c>
      <c r="C37" s="11" t="s">
        <v>329</v>
      </c>
      <c r="D37" s="11" t="s">
        <v>280</v>
      </c>
      <c r="E37" s="9">
        <v>468</v>
      </c>
      <c r="F37" s="9">
        <v>374.4</v>
      </c>
      <c r="G37">
        <f>SUMIFS(FeederMaster!F:F,FeederMaster!E:E,Sheet1!D37)</f>
        <v>888</v>
      </c>
      <c r="H37">
        <f t="shared" si="0"/>
        <v>0.79999999999999993</v>
      </c>
    </row>
    <row r="38" spans="1:8" ht="15" thickBot="1" x14ac:dyDescent="0.4">
      <c r="A38" s="6" t="s">
        <v>10</v>
      </c>
      <c r="B38" s="7" t="s">
        <v>171</v>
      </c>
      <c r="C38" s="7" t="s">
        <v>329</v>
      </c>
      <c r="D38" s="7" t="s">
        <v>310</v>
      </c>
      <c r="E38" s="9">
        <v>468</v>
      </c>
      <c r="F38" s="9">
        <v>374.4</v>
      </c>
      <c r="G38">
        <f>SUMIFS(FeederMaster!F:F,FeederMaster!E:E,Sheet1!D38)</f>
        <v>444</v>
      </c>
      <c r="H38">
        <f t="shared" si="0"/>
        <v>0.79999999999999993</v>
      </c>
    </row>
    <row r="39" spans="1:8" ht="15" thickBot="1" x14ac:dyDescent="0.4">
      <c r="A39" s="10" t="s">
        <v>10</v>
      </c>
      <c r="B39" s="11" t="s">
        <v>171</v>
      </c>
      <c r="C39" s="11" t="s">
        <v>329</v>
      </c>
      <c r="D39" s="11" t="s">
        <v>306</v>
      </c>
      <c r="E39" s="9">
        <v>468</v>
      </c>
      <c r="F39" s="9">
        <v>374.4</v>
      </c>
      <c r="G39">
        <f>SUMIFS(FeederMaster!F:F,FeederMaster!E:E,Sheet1!D39)</f>
        <v>444</v>
      </c>
      <c r="H39">
        <f t="shared" si="0"/>
        <v>0.79999999999999993</v>
      </c>
    </row>
    <row r="40" spans="1:8" ht="15" thickBot="1" x14ac:dyDescent="0.4">
      <c r="A40" s="6" t="s">
        <v>10</v>
      </c>
      <c r="B40" s="7" t="s">
        <v>171</v>
      </c>
      <c r="C40" s="7" t="s">
        <v>329</v>
      </c>
      <c r="D40" s="7" t="s">
        <v>307</v>
      </c>
      <c r="E40" s="9">
        <v>293</v>
      </c>
      <c r="F40" s="9">
        <v>234</v>
      </c>
      <c r="G40">
        <f>SUMIFS(FeederMaster!F:F,FeederMaster!E:E,Sheet1!D40)</f>
        <v>279</v>
      </c>
      <c r="H40">
        <f t="shared" si="0"/>
        <v>0.79863481228668942</v>
      </c>
    </row>
    <row r="41" spans="1:8" ht="15" thickBot="1" x14ac:dyDescent="0.4">
      <c r="A41" s="10" t="s">
        <v>10</v>
      </c>
      <c r="B41" s="11" t="s">
        <v>171</v>
      </c>
      <c r="C41" s="11" t="s">
        <v>329</v>
      </c>
      <c r="D41" s="11" t="s">
        <v>214</v>
      </c>
      <c r="E41" s="9">
        <v>468</v>
      </c>
      <c r="F41" s="9">
        <v>374.4</v>
      </c>
      <c r="G41">
        <f>SUMIFS(FeederMaster!F:F,FeederMaster!E:E,Sheet1!D41)</f>
        <v>106</v>
      </c>
      <c r="H41">
        <f t="shared" si="0"/>
        <v>0.79999999999999993</v>
      </c>
    </row>
    <row r="42" spans="1:8" ht="15" thickBot="1" x14ac:dyDescent="0.4">
      <c r="A42" s="6" t="s">
        <v>10</v>
      </c>
      <c r="B42" s="7" t="s">
        <v>171</v>
      </c>
      <c r="C42" s="7" t="s">
        <v>329</v>
      </c>
      <c r="D42" s="7" t="s">
        <v>202</v>
      </c>
      <c r="E42" s="9">
        <v>300</v>
      </c>
      <c r="F42" s="9">
        <v>240</v>
      </c>
      <c r="G42">
        <f>SUMIFS(FeederMaster!F:F,FeederMaster!E:E,Sheet1!D42)</f>
        <v>285</v>
      </c>
      <c r="H42">
        <f t="shared" si="0"/>
        <v>0.8</v>
      </c>
    </row>
    <row r="43" spans="1:8" ht="15" thickBot="1" x14ac:dyDescent="0.4">
      <c r="A43" s="10" t="s">
        <v>10</v>
      </c>
      <c r="B43" s="11" t="s">
        <v>171</v>
      </c>
      <c r="C43" s="11" t="s">
        <v>329</v>
      </c>
      <c r="D43" s="11" t="s">
        <v>305</v>
      </c>
      <c r="E43" s="9">
        <v>261</v>
      </c>
      <c r="F43" s="9">
        <v>208.8</v>
      </c>
      <c r="G43">
        <f>SUMIFS(FeederMaster!F:F,FeederMaster!E:E,Sheet1!D43)</f>
        <v>248</v>
      </c>
      <c r="H43">
        <f t="shared" si="0"/>
        <v>0.8</v>
      </c>
    </row>
    <row r="44" spans="1:8" ht="15" thickBot="1" x14ac:dyDescent="0.4">
      <c r="A44" s="6" t="s">
        <v>10</v>
      </c>
      <c r="B44" s="7" t="s">
        <v>171</v>
      </c>
      <c r="C44" s="7" t="s">
        <v>329</v>
      </c>
      <c r="D44" s="7" t="s">
        <v>309</v>
      </c>
      <c r="E44" s="9"/>
      <c r="F44" s="9">
        <v>0</v>
      </c>
      <c r="G44">
        <f>SUMIFS(FeederMaster!F:F,FeederMaster!E:E,Sheet1!D44)</f>
        <v>15</v>
      </c>
      <c r="H44" t="e">
        <f t="shared" si="0"/>
        <v>#DIV/0!</v>
      </c>
    </row>
    <row r="45" spans="1:8" ht="15" thickBot="1" x14ac:dyDescent="0.4">
      <c r="A45" s="10" t="s">
        <v>10</v>
      </c>
      <c r="B45" s="11" t="s">
        <v>171</v>
      </c>
      <c r="C45" s="11" t="s">
        <v>329</v>
      </c>
      <c r="D45" s="11" t="s">
        <v>308</v>
      </c>
      <c r="E45" s="9">
        <v>468</v>
      </c>
      <c r="F45" s="9">
        <v>374.4</v>
      </c>
      <c r="G45">
        <f>SUMIFS(FeederMaster!F:F,FeederMaster!E:E,Sheet1!D45)</f>
        <v>444</v>
      </c>
      <c r="H45">
        <f t="shared" si="0"/>
        <v>0.79999999999999993</v>
      </c>
    </row>
    <row r="46" spans="1:8" ht="15" thickBot="1" x14ac:dyDescent="0.4">
      <c r="A46" s="10" t="s">
        <v>10</v>
      </c>
      <c r="B46" s="11" t="s">
        <v>171</v>
      </c>
      <c r="C46" s="11" t="s">
        <v>187</v>
      </c>
      <c r="D46" s="11" t="s">
        <v>188</v>
      </c>
      <c r="E46" s="9">
        <v>468</v>
      </c>
      <c r="F46" s="9">
        <v>374.4</v>
      </c>
      <c r="G46">
        <f>SUMIFS(FeederMaster!F:F,FeederMaster!E:E,Sheet1!D46)</f>
        <v>444</v>
      </c>
      <c r="H46">
        <f t="shared" si="0"/>
        <v>0.79999999999999993</v>
      </c>
    </row>
    <row r="47" spans="1:8" ht="15" thickBot="1" x14ac:dyDescent="0.4">
      <c r="A47" s="6" t="s">
        <v>10</v>
      </c>
      <c r="B47" s="7" t="s">
        <v>171</v>
      </c>
      <c r="C47" s="7" t="s">
        <v>187</v>
      </c>
      <c r="D47" s="7" t="s">
        <v>215</v>
      </c>
      <c r="E47" s="9">
        <v>468</v>
      </c>
      <c r="F47" s="9">
        <v>374.4</v>
      </c>
      <c r="G47">
        <f>SUMIFS(FeederMaster!F:F,FeederMaster!E:E,Sheet1!D47)</f>
        <v>444</v>
      </c>
      <c r="H47">
        <f t="shared" si="0"/>
        <v>0.79999999999999993</v>
      </c>
    </row>
    <row r="48" spans="1:8" ht="15" thickBot="1" x14ac:dyDescent="0.4">
      <c r="A48" s="10" t="s">
        <v>10</v>
      </c>
      <c r="B48" s="11" t="s">
        <v>171</v>
      </c>
      <c r="C48" s="11" t="s">
        <v>187</v>
      </c>
      <c r="D48" s="11" t="s">
        <v>189</v>
      </c>
      <c r="E48" s="9">
        <v>300</v>
      </c>
      <c r="F48" s="9">
        <v>240</v>
      </c>
      <c r="G48">
        <f>SUMIFS(FeederMaster!F:F,FeederMaster!E:E,Sheet1!D48)</f>
        <v>285</v>
      </c>
      <c r="H48">
        <f t="shared" si="0"/>
        <v>0.8</v>
      </c>
    </row>
    <row r="49" spans="1:8" ht="15" thickBot="1" x14ac:dyDescent="0.4">
      <c r="A49" s="10" t="s">
        <v>10</v>
      </c>
      <c r="B49" s="11" t="s">
        <v>175</v>
      </c>
      <c r="C49" s="11" t="s">
        <v>210</v>
      </c>
      <c r="D49" s="11" t="s">
        <v>212</v>
      </c>
      <c r="E49" s="9">
        <v>293</v>
      </c>
      <c r="F49" s="9">
        <v>234</v>
      </c>
      <c r="G49">
        <f>SUMIFS(FeederMaster!F:F,FeederMaster!E:E,Sheet1!D49)</f>
        <v>279</v>
      </c>
      <c r="H49">
        <f t="shared" si="0"/>
        <v>0.79863481228668942</v>
      </c>
    </row>
    <row r="50" spans="1:8" ht="15" thickBot="1" x14ac:dyDescent="0.4">
      <c r="A50" s="6" t="s">
        <v>10</v>
      </c>
      <c r="B50" s="7" t="s">
        <v>175</v>
      </c>
      <c r="C50" s="7" t="s">
        <v>210</v>
      </c>
      <c r="D50" s="7" t="s">
        <v>211</v>
      </c>
      <c r="E50" s="9">
        <v>293</v>
      </c>
      <c r="F50" s="9">
        <v>234</v>
      </c>
      <c r="G50">
        <f>SUMIFS(FeederMaster!F:F,FeederMaster!E:E,Sheet1!D50)</f>
        <v>279</v>
      </c>
      <c r="H50">
        <f t="shared" si="0"/>
        <v>0.79863481228668942</v>
      </c>
    </row>
    <row r="51" spans="1:8" ht="15" thickBot="1" x14ac:dyDescent="0.4">
      <c r="A51" s="10" t="s">
        <v>10</v>
      </c>
      <c r="B51" s="11" t="s">
        <v>175</v>
      </c>
      <c r="C51" s="11" t="s">
        <v>210</v>
      </c>
      <c r="D51" s="11" t="s">
        <v>256</v>
      </c>
      <c r="E51" s="9">
        <v>468</v>
      </c>
      <c r="F51" s="9">
        <v>374.4</v>
      </c>
      <c r="G51">
        <f>SUMIFS(FeederMaster!F:F,FeederMaster!E:E,Sheet1!D51)</f>
        <v>444</v>
      </c>
      <c r="H51">
        <f t="shared" si="0"/>
        <v>0.79999999999999993</v>
      </c>
    </row>
    <row r="52" spans="1:8" ht="15" thickBot="1" x14ac:dyDescent="0.4">
      <c r="A52" s="10" t="s">
        <v>10</v>
      </c>
      <c r="B52" s="11" t="s">
        <v>175</v>
      </c>
      <c r="C52" s="11" t="s">
        <v>247</v>
      </c>
      <c r="D52" s="11" t="s">
        <v>252</v>
      </c>
      <c r="E52" s="9">
        <v>261</v>
      </c>
      <c r="F52" s="9">
        <v>208.8</v>
      </c>
      <c r="G52">
        <f>SUMIFS(FeederMaster!F:F,FeederMaster!E:E,Sheet1!D52)</f>
        <v>248</v>
      </c>
      <c r="H52">
        <f t="shared" si="0"/>
        <v>0.8</v>
      </c>
    </row>
    <row r="53" spans="1:8" ht="15" thickBot="1" x14ac:dyDescent="0.4">
      <c r="A53" s="6" t="s">
        <v>10</v>
      </c>
      <c r="B53" s="7" t="s">
        <v>175</v>
      </c>
      <c r="C53" s="7" t="s">
        <v>247</v>
      </c>
      <c r="D53" s="7" t="s">
        <v>248</v>
      </c>
      <c r="E53" s="9">
        <v>293</v>
      </c>
      <c r="F53" s="9">
        <v>234</v>
      </c>
      <c r="G53">
        <f>SUMIFS(FeederMaster!F:F,FeederMaster!E:E,Sheet1!D53)</f>
        <v>279</v>
      </c>
      <c r="H53">
        <f t="shared" si="0"/>
        <v>0.79863481228668942</v>
      </c>
    </row>
    <row r="54" spans="1:8" ht="15" thickBot="1" x14ac:dyDescent="0.4">
      <c r="A54" s="10" t="s">
        <v>10</v>
      </c>
      <c r="B54" s="11" t="s">
        <v>175</v>
      </c>
      <c r="C54" s="11" t="s">
        <v>247</v>
      </c>
      <c r="D54" s="11" t="s">
        <v>249</v>
      </c>
      <c r="E54" s="9">
        <v>300</v>
      </c>
      <c r="F54" s="9">
        <v>240</v>
      </c>
      <c r="G54">
        <f>SUMIFS(FeederMaster!F:F,FeederMaster!E:E,Sheet1!D54)</f>
        <v>285</v>
      </c>
      <c r="H54">
        <f t="shared" si="0"/>
        <v>0.8</v>
      </c>
    </row>
    <row r="55" spans="1:8" ht="15" thickBot="1" x14ac:dyDescent="0.4">
      <c r="A55" s="6" t="s">
        <v>10</v>
      </c>
      <c r="B55" s="7" t="s">
        <v>175</v>
      </c>
      <c r="C55" s="7" t="s">
        <v>247</v>
      </c>
      <c r="D55" s="7" t="s">
        <v>251</v>
      </c>
      <c r="E55" s="9">
        <v>261</v>
      </c>
      <c r="F55" s="9">
        <v>208.8</v>
      </c>
      <c r="G55">
        <f>SUMIFS(FeederMaster!F:F,FeederMaster!E:E,Sheet1!D55)</f>
        <v>248</v>
      </c>
      <c r="H55">
        <f t="shared" si="0"/>
        <v>0.8</v>
      </c>
    </row>
    <row r="56" spans="1:8" ht="15" thickBot="1" x14ac:dyDescent="0.4">
      <c r="A56" s="10" t="s">
        <v>10</v>
      </c>
      <c r="B56" s="11" t="s">
        <v>175</v>
      </c>
      <c r="C56" s="11" t="s">
        <v>247</v>
      </c>
      <c r="D56" s="11" t="s">
        <v>250</v>
      </c>
      <c r="E56" s="9">
        <v>261</v>
      </c>
      <c r="F56" s="9">
        <v>208.8</v>
      </c>
      <c r="G56">
        <f>SUMIFS(FeederMaster!F:F,FeederMaster!E:E,Sheet1!D56)</f>
        <v>248</v>
      </c>
      <c r="H56">
        <f t="shared" si="0"/>
        <v>0.8</v>
      </c>
    </row>
    <row r="57" spans="1:8" ht="15" thickBot="1" x14ac:dyDescent="0.4">
      <c r="A57" s="10" t="s">
        <v>10</v>
      </c>
      <c r="B57" s="11" t="s">
        <v>11</v>
      </c>
      <c r="C57" s="11" t="s">
        <v>17</v>
      </c>
      <c r="D57" s="11" t="s">
        <v>190</v>
      </c>
      <c r="E57" s="9">
        <v>468</v>
      </c>
      <c r="F57" s="9">
        <v>374.4</v>
      </c>
      <c r="G57">
        <f>SUMIFS(FeederMaster!F:F,FeederMaster!E:E,Sheet1!D57)</f>
        <v>444</v>
      </c>
      <c r="H57">
        <f t="shared" si="0"/>
        <v>0.79999999999999993</v>
      </c>
    </row>
    <row r="58" spans="1:8" ht="15" thickBot="1" x14ac:dyDescent="0.4">
      <c r="A58" s="6" t="s">
        <v>10</v>
      </c>
      <c r="B58" s="7" t="s">
        <v>11</v>
      </c>
      <c r="C58" s="7" t="s">
        <v>17</v>
      </c>
      <c r="D58" s="7" t="s">
        <v>186</v>
      </c>
      <c r="E58" s="9">
        <v>468</v>
      </c>
      <c r="F58" s="9">
        <v>374.4</v>
      </c>
      <c r="G58">
        <f>SUMIFS(FeederMaster!F:F,FeederMaster!E:E,Sheet1!D58)</f>
        <v>444</v>
      </c>
      <c r="H58">
        <f t="shared" si="0"/>
        <v>0.79999999999999993</v>
      </c>
    </row>
    <row r="59" spans="1:8" ht="15" thickBot="1" x14ac:dyDescent="0.4">
      <c r="A59" s="10" t="s">
        <v>176</v>
      </c>
      <c r="B59" s="11" t="s">
        <v>177</v>
      </c>
      <c r="C59" s="11" t="s">
        <v>217</v>
      </c>
      <c r="D59" s="11" t="s">
        <v>304</v>
      </c>
      <c r="E59" s="8">
        <v>468</v>
      </c>
      <c r="F59" s="9">
        <v>374.4</v>
      </c>
      <c r="G59">
        <f>SUMIFS(FeederMaster!F:F,FeederMaster!E:E,Sheet1!D59)</f>
        <v>444</v>
      </c>
      <c r="H59">
        <f t="shared" si="0"/>
        <v>0.79999999999999993</v>
      </c>
    </row>
    <row r="60" spans="1:8" ht="15" thickBot="1" x14ac:dyDescent="0.4">
      <c r="A60" s="6" t="s">
        <v>176</v>
      </c>
      <c r="B60" s="7" t="s">
        <v>177</v>
      </c>
      <c r="C60" s="7" t="s">
        <v>217</v>
      </c>
      <c r="D60" s="7" t="s">
        <v>330</v>
      </c>
      <c r="E60" s="9">
        <v>293</v>
      </c>
      <c r="F60" s="9">
        <v>234</v>
      </c>
      <c r="G60">
        <f>SUMIFS(FeederMaster!F:F,FeederMaster!E:E,Sheet1!D60)</f>
        <v>0</v>
      </c>
      <c r="H60">
        <f t="shared" si="0"/>
        <v>0.79863481228668942</v>
      </c>
    </row>
    <row r="61" spans="1:8" ht="15" thickBot="1" x14ac:dyDescent="0.4">
      <c r="A61" s="10" t="s">
        <v>176</v>
      </c>
      <c r="B61" s="11" t="s">
        <v>177</v>
      </c>
      <c r="C61" s="11" t="s">
        <v>217</v>
      </c>
      <c r="D61" s="11" t="s">
        <v>218</v>
      </c>
      <c r="E61" s="9">
        <v>300</v>
      </c>
      <c r="F61" s="9">
        <v>240</v>
      </c>
      <c r="G61">
        <f>SUMIFS(FeederMaster!F:F,FeederMaster!E:E,Sheet1!D61)</f>
        <v>285</v>
      </c>
      <c r="H61">
        <f t="shared" si="0"/>
        <v>0.8</v>
      </c>
    </row>
    <row r="62" spans="1:8" ht="15" thickBot="1" x14ac:dyDescent="0.4">
      <c r="A62" s="6" t="s">
        <v>176</v>
      </c>
      <c r="B62" s="7" t="s">
        <v>177</v>
      </c>
      <c r="C62" s="7" t="s">
        <v>238</v>
      </c>
      <c r="D62" s="7" t="s">
        <v>262</v>
      </c>
      <c r="E62" s="8">
        <v>468</v>
      </c>
      <c r="F62" s="9">
        <v>374.4</v>
      </c>
      <c r="G62">
        <f>SUMIFS(FeederMaster!F:F,FeederMaster!E:E,Sheet1!D62)</f>
        <v>444</v>
      </c>
      <c r="H62">
        <f t="shared" si="0"/>
        <v>0.79999999999999993</v>
      </c>
    </row>
    <row r="63" spans="1:8" ht="15" thickBot="1" x14ac:dyDescent="0.4">
      <c r="A63" s="6" t="s">
        <v>176</v>
      </c>
      <c r="B63" s="7" t="s">
        <v>177</v>
      </c>
      <c r="C63" s="7" t="s">
        <v>253</v>
      </c>
      <c r="D63" s="7" t="s">
        <v>255</v>
      </c>
      <c r="E63" s="9">
        <v>293</v>
      </c>
      <c r="F63" s="9">
        <v>234</v>
      </c>
      <c r="G63">
        <f>SUMIFS(FeederMaster!F:F,FeederMaster!E:E,Sheet1!D63)</f>
        <v>279</v>
      </c>
      <c r="H63">
        <f t="shared" si="0"/>
        <v>0.79863481228668942</v>
      </c>
    </row>
    <row r="64" spans="1:8" ht="15" thickBot="1" x14ac:dyDescent="0.4">
      <c r="A64" s="10" t="s">
        <v>176</v>
      </c>
      <c r="B64" s="11" t="s">
        <v>177</v>
      </c>
      <c r="C64" s="11" t="s">
        <v>253</v>
      </c>
      <c r="D64" s="11" t="s">
        <v>254</v>
      </c>
      <c r="E64" s="13">
        <v>189</v>
      </c>
      <c r="F64" s="9">
        <v>151.19999999999999</v>
      </c>
      <c r="G64">
        <f>SUMIFS(FeederMaster!F:F,FeederMaster!E:E,Sheet1!D64)</f>
        <v>179</v>
      </c>
      <c r="H64">
        <f t="shared" si="0"/>
        <v>0.79999999999999993</v>
      </c>
    </row>
    <row r="65" spans="1:8" ht="15" thickBot="1" x14ac:dyDescent="0.4">
      <c r="A65" s="6" t="s">
        <v>176</v>
      </c>
      <c r="B65" s="7" t="s">
        <v>177</v>
      </c>
      <c r="C65" s="7" t="s">
        <v>320</v>
      </c>
      <c r="D65" s="7" t="s">
        <v>314</v>
      </c>
      <c r="E65" s="8">
        <v>468</v>
      </c>
      <c r="F65" s="9">
        <v>374.4</v>
      </c>
      <c r="G65">
        <f>SUMIFS(FeederMaster!F:F,FeederMaster!E:E,Sheet1!D65)</f>
        <v>444</v>
      </c>
      <c r="H65">
        <f t="shared" si="0"/>
        <v>0.79999999999999993</v>
      </c>
    </row>
    <row r="66" spans="1:8" ht="15" thickBot="1" x14ac:dyDescent="0.4">
      <c r="A66" s="10" t="s">
        <v>176</v>
      </c>
      <c r="B66" s="11" t="s">
        <v>177</v>
      </c>
      <c r="C66" s="11" t="s">
        <v>320</v>
      </c>
      <c r="D66" s="11" t="s">
        <v>315</v>
      </c>
      <c r="E66" s="13">
        <v>311</v>
      </c>
      <c r="F66" s="9">
        <v>248.8</v>
      </c>
      <c r="G66">
        <f>SUMIFS(FeederMaster!F:F,FeederMaster!E:E,Sheet1!D66)</f>
        <v>296</v>
      </c>
      <c r="H66">
        <f t="shared" si="0"/>
        <v>0.8</v>
      </c>
    </row>
    <row r="67" spans="1:8" ht="15" thickBot="1" x14ac:dyDescent="0.4">
      <c r="A67" s="6" t="s">
        <v>176</v>
      </c>
      <c r="B67" s="7" t="s">
        <v>177</v>
      </c>
      <c r="C67" s="7" t="s">
        <v>320</v>
      </c>
      <c r="D67" s="7" t="s">
        <v>313</v>
      </c>
      <c r="E67" s="13">
        <v>347</v>
      </c>
      <c r="F67" s="9">
        <v>277.60000000000002</v>
      </c>
      <c r="G67">
        <f>SUMIFS(FeederMaster!F:F,FeederMaster!E:E,Sheet1!D67)</f>
        <v>329</v>
      </c>
      <c r="H67">
        <f t="shared" ref="H67:H119" si="1">F67/E67</f>
        <v>0.8</v>
      </c>
    </row>
    <row r="68" spans="1:8" ht="15" thickBot="1" x14ac:dyDescent="0.4">
      <c r="A68" s="10" t="s">
        <v>176</v>
      </c>
      <c r="B68" s="11" t="s">
        <v>177</v>
      </c>
      <c r="C68" s="11" t="s">
        <v>320</v>
      </c>
      <c r="D68" s="11" t="s">
        <v>263</v>
      </c>
      <c r="E68" s="13">
        <v>395</v>
      </c>
      <c r="F68" s="9">
        <v>316</v>
      </c>
      <c r="G68">
        <f>SUMIFS(FeederMaster!F:F,FeederMaster!E:E,Sheet1!D68)</f>
        <v>376</v>
      </c>
      <c r="H68">
        <f t="shared" si="1"/>
        <v>0.8</v>
      </c>
    </row>
    <row r="69" spans="1:8" ht="15" thickBot="1" x14ac:dyDescent="0.4">
      <c r="A69" s="10" t="s">
        <v>176</v>
      </c>
      <c r="B69" s="11" t="s">
        <v>180</v>
      </c>
      <c r="C69" s="11" t="s">
        <v>320</v>
      </c>
      <c r="D69" s="11" t="s">
        <v>316</v>
      </c>
      <c r="E69" s="8">
        <v>468</v>
      </c>
      <c r="F69" s="9">
        <v>374.4</v>
      </c>
      <c r="G69">
        <f>SUMIFS(FeederMaster!F:F,FeederMaster!E:E,Sheet1!D69)</f>
        <v>444</v>
      </c>
      <c r="H69">
        <f t="shared" si="1"/>
        <v>0.79999999999999993</v>
      </c>
    </row>
    <row r="70" spans="1:8" ht="15" thickBot="1" x14ac:dyDescent="0.4">
      <c r="A70" s="6" t="s">
        <v>176</v>
      </c>
      <c r="B70" s="7" t="s">
        <v>180</v>
      </c>
      <c r="C70" s="7" t="s">
        <v>320</v>
      </c>
      <c r="D70" s="7" t="s">
        <v>264</v>
      </c>
      <c r="E70" s="8">
        <v>395</v>
      </c>
      <c r="F70" s="9">
        <v>316</v>
      </c>
      <c r="G70">
        <f>SUMIFS(FeederMaster!F:F,FeederMaster!E:E,Sheet1!D70)</f>
        <v>376</v>
      </c>
      <c r="H70">
        <f t="shared" si="1"/>
        <v>0.8</v>
      </c>
    </row>
    <row r="71" spans="1:8" ht="15" thickBot="1" x14ac:dyDescent="0.4">
      <c r="A71" s="10" t="s">
        <v>29</v>
      </c>
      <c r="B71" s="11" t="s">
        <v>174</v>
      </c>
      <c r="C71" s="11" t="s">
        <v>206</v>
      </c>
      <c r="D71" s="11" t="s">
        <v>224</v>
      </c>
      <c r="E71" s="13">
        <v>468</v>
      </c>
      <c r="F71" s="9">
        <v>374.4</v>
      </c>
      <c r="G71">
        <f>SUMIFS(FeederMaster!F:F,FeederMaster!E:E,Sheet1!D71)</f>
        <v>444</v>
      </c>
      <c r="H71">
        <f t="shared" si="1"/>
        <v>0.79999999999999993</v>
      </c>
    </row>
    <row r="72" spans="1:8" ht="15" thickBot="1" x14ac:dyDescent="0.4">
      <c r="A72" s="6" t="s">
        <v>29</v>
      </c>
      <c r="B72" s="7" t="s">
        <v>174</v>
      </c>
      <c r="C72" s="7" t="s">
        <v>206</v>
      </c>
      <c r="D72" s="7" t="s">
        <v>223</v>
      </c>
      <c r="E72" s="13">
        <v>468</v>
      </c>
      <c r="F72" s="9">
        <v>374.4</v>
      </c>
      <c r="G72">
        <f>SUMIFS(FeederMaster!F:F,FeederMaster!E:E,Sheet1!D72)</f>
        <v>444</v>
      </c>
      <c r="H72">
        <f t="shared" si="1"/>
        <v>0.79999999999999993</v>
      </c>
    </row>
    <row r="73" spans="1:8" ht="15" thickBot="1" x14ac:dyDescent="0.4">
      <c r="A73" s="10" t="s">
        <v>29</v>
      </c>
      <c r="B73" s="11" t="s">
        <v>174</v>
      </c>
      <c r="C73" s="11" t="s">
        <v>206</v>
      </c>
      <c r="D73" s="11" t="s">
        <v>240</v>
      </c>
      <c r="E73" s="13">
        <v>261</v>
      </c>
      <c r="F73" s="9">
        <v>208.8</v>
      </c>
      <c r="G73">
        <f>SUMIFS(FeederMaster!F:F,FeederMaster!E:E,Sheet1!D73)</f>
        <v>248</v>
      </c>
      <c r="H73">
        <f t="shared" si="1"/>
        <v>0.8</v>
      </c>
    </row>
    <row r="74" spans="1:8" ht="15" thickBot="1" x14ac:dyDescent="0.4">
      <c r="A74" s="6" t="s">
        <v>29</v>
      </c>
      <c r="B74" s="7" t="s">
        <v>174</v>
      </c>
      <c r="C74" s="7" t="s">
        <v>206</v>
      </c>
      <c r="D74" s="7" t="s">
        <v>207</v>
      </c>
      <c r="E74" s="13">
        <v>468</v>
      </c>
      <c r="F74" s="9">
        <v>374.4</v>
      </c>
      <c r="G74">
        <f>SUMIFS(FeederMaster!F:F,FeederMaster!E:E,Sheet1!D74)</f>
        <v>444</v>
      </c>
      <c r="H74">
        <f t="shared" si="1"/>
        <v>0.79999999999999993</v>
      </c>
    </row>
    <row r="75" spans="1:8" ht="15" thickBot="1" x14ac:dyDescent="0.4">
      <c r="A75" s="6" t="s">
        <v>29</v>
      </c>
      <c r="B75" s="7" t="s">
        <v>174</v>
      </c>
      <c r="C75" s="7" t="s">
        <v>225</v>
      </c>
      <c r="D75" s="7" t="s">
        <v>230</v>
      </c>
      <c r="E75" s="9">
        <v>300</v>
      </c>
      <c r="F75" s="9">
        <v>240</v>
      </c>
      <c r="G75">
        <f>SUMIFS(FeederMaster!F:F,FeederMaster!E:E,Sheet1!D75)</f>
        <v>285</v>
      </c>
      <c r="H75">
        <f t="shared" si="1"/>
        <v>0.8</v>
      </c>
    </row>
    <row r="76" spans="1:8" ht="15" thickBot="1" x14ac:dyDescent="0.4">
      <c r="A76" s="10" t="s">
        <v>29</v>
      </c>
      <c r="B76" s="11" t="s">
        <v>174</v>
      </c>
      <c r="C76" s="11" t="s">
        <v>225</v>
      </c>
      <c r="D76" s="11" t="s">
        <v>231</v>
      </c>
      <c r="E76" s="13">
        <v>468</v>
      </c>
      <c r="F76" s="9">
        <v>374.4</v>
      </c>
      <c r="G76">
        <f>SUMIFS(FeederMaster!F:F,FeederMaster!E:E,Sheet1!D76)</f>
        <v>444</v>
      </c>
      <c r="H76">
        <f t="shared" si="1"/>
        <v>0.79999999999999993</v>
      </c>
    </row>
    <row r="77" spans="1:8" ht="15" thickBot="1" x14ac:dyDescent="0.4">
      <c r="A77" s="10" t="s">
        <v>29</v>
      </c>
      <c r="B77" s="11" t="s">
        <v>30</v>
      </c>
      <c r="C77" s="11" t="s">
        <v>31</v>
      </c>
      <c r="D77" s="11" t="s">
        <v>286</v>
      </c>
      <c r="E77" s="13">
        <v>395</v>
      </c>
      <c r="F77" s="9">
        <v>316</v>
      </c>
      <c r="G77">
        <f>SUMIFS(FeederMaster!F:F,FeederMaster!E:E,Sheet1!D77)</f>
        <v>376</v>
      </c>
      <c r="H77">
        <f t="shared" si="1"/>
        <v>0.8</v>
      </c>
    </row>
    <row r="78" spans="1:8" ht="15" thickBot="1" x14ac:dyDescent="0.4">
      <c r="A78" s="6" t="s">
        <v>29</v>
      </c>
      <c r="B78" s="7" t="s">
        <v>30</v>
      </c>
      <c r="C78" s="7" t="s">
        <v>31</v>
      </c>
      <c r="D78" s="7" t="s">
        <v>290</v>
      </c>
      <c r="E78" s="9">
        <v>293</v>
      </c>
      <c r="F78" s="9">
        <v>234</v>
      </c>
      <c r="G78">
        <f>SUMIFS(FeederMaster!F:F,FeederMaster!E:E,Sheet1!D78)</f>
        <v>279</v>
      </c>
      <c r="H78">
        <f t="shared" si="1"/>
        <v>0.79863481228668942</v>
      </c>
    </row>
    <row r="79" spans="1:8" ht="15" thickBot="1" x14ac:dyDescent="0.4">
      <c r="A79" s="10" t="s">
        <v>29</v>
      </c>
      <c r="B79" s="11" t="s">
        <v>30</v>
      </c>
      <c r="C79" s="11" t="s">
        <v>31</v>
      </c>
      <c r="D79" s="11" t="s">
        <v>287</v>
      </c>
      <c r="E79" s="13">
        <v>189</v>
      </c>
      <c r="F79" s="9">
        <v>151.19999999999999</v>
      </c>
      <c r="G79">
        <f>SUMIFS(FeederMaster!F:F,FeederMaster!E:E,Sheet1!D79)</f>
        <v>179</v>
      </c>
      <c r="H79">
        <f t="shared" si="1"/>
        <v>0.79999999999999993</v>
      </c>
    </row>
    <row r="80" spans="1:8" ht="15" thickBot="1" x14ac:dyDescent="0.4">
      <c r="A80" s="6" t="s">
        <v>29</v>
      </c>
      <c r="B80" s="7" t="s">
        <v>30</v>
      </c>
      <c r="C80" s="7" t="s">
        <v>31</v>
      </c>
      <c r="D80" s="7" t="s">
        <v>288</v>
      </c>
      <c r="E80" s="9">
        <v>293</v>
      </c>
      <c r="F80" s="9">
        <v>234</v>
      </c>
      <c r="G80">
        <f>SUMIFS(FeederMaster!F:F,FeederMaster!E:E,Sheet1!D80)</f>
        <v>279</v>
      </c>
      <c r="H80">
        <f t="shared" si="1"/>
        <v>0.79863481228668942</v>
      </c>
    </row>
    <row r="81" spans="1:8" ht="15" thickBot="1" x14ac:dyDescent="0.4">
      <c r="A81" s="10" t="s">
        <v>29</v>
      </c>
      <c r="B81" s="11" t="s">
        <v>30</v>
      </c>
      <c r="C81" s="11" t="s">
        <v>31</v>
      </c>
      <c r="D81" s="11" t="s">
        <v>289</v>
      </c>
      <c r="E81" s="13">
        <v>261</v>
      </c>
      <c r="F81" s="9">
        <v>208.8</v>
      </c>
      <c r="G81">
        <f>SUMIFS(FeederMaster!F:F,FeederMaster!E:E,Sheet1!D81)</f>
        <v>248</v>
      </c>
      <c r="H81">
        <f t="shared" si="1"/>
        <v>0.8</v>
      </c>
    </row>
    <row r="82" spans="1:8" ht="15" thickBot="1" x14ac:dyDescent="0.4">
      <c r="A82" s="6" t="s">
        <v>29</v>
      </c>
      <c r="B82" s="7" t="s">
        <v>30</v>
      </c>
      <c r="C82" s="7" t="s">
        <v>31</v>
      </c>
      <c r="D82" s="7" t="s">
        <v>285</v>
      </c>
      <c r="E82" s="13">
        <v>395</v>
      </c>
      <c r="F82" s="9">
        <v>316</v>
      </c>
      <c r="G82">
        <f>SUMIFS(FeederMaster!F:F,FeederMaster!E:E,Sheet1!D82)</f>
        <v>376</v>
      </c>
      <c r="H82">
        <f t="shared" si="1"/>
        <v>0.8</v>
      </c>
    </row>
    <row r="83" spans="1:8" ht="15" thickBot="1" x14ac:dyDescent="0.4">
      <c r="A83" s="10" t="s">
        <v>29</v>
      </c>
      <c r="B83" s="11" t="s">
        <v>30</v>
      </c>
      <c r="C83" s="11" t="s">
        <v>31</v>
      </c>
      <c r="D83" s="11" t="s">
        <v>291</v>
      </c>
      <c r="E83" s="13">
        <v>243</v>
      </c>
      <c r="F83" s="9">
        <v>194.4</v>
      </c>
      <c r="G83">
        <f>SUMIFS(FeederMaster!F:F,FeederMaster!E:E,Sheet1!D83)</f>
        <v>53</v>
      </c>
      <c r="H83">
        <f t="shared" si="1"/>
        <v>0.8</v>
      </c>
    </row>
    <row r="84" spans="1:8" ht="15" thickBot="1" x14ac:dyDescent="0.4">
      <c r="A84" s="6" t="s">
        <v>29</v>
      </c>
      <c r="B84" s="7" t="s">
        <v>30</v>
      </c>
      <c r="C84" s="7" t="s">
        <v>31</v>
      </c>
      <c r="D84" s="7" t="s">
        <v>331</v>
      </c>
      <c r="E84" s="13">
        <v>243</v>
      </c>
      <c r="F84" s="9">
        <v>194.4</v>
      </c>
      <c r="G84">
        <f>SUMIFS(FeederMaster!F:F,FeederMaster!E:E,Sheet1!D84)</f>
        <v>0</v>
      </c>
      <c r="H84">
        <f t="shared" si="1"/>
        <v>0.8</v>
      </c>
    </row>
    <row r="85" spans="1:8" ht="15" thickBot="1" x14ac:dyDescent="0.4">
      <c r="A85" s="10" t="s">
        <v>29</v>
      </c>
      <c r="B85" s="11" t="s">
        <v>178</v>
      </c>
      <c r="C85" s="11" t="s">
        <v>232</v>
      </c>
      <c r="D85" s="11" t="s">
        <v>234</v>
      </c>
      <c r="E85" s="9">
        <v>293</v>
      </c>
      <c r="F85" s="9">
        <v>234</v>
      </c>
      <c r="G85">
        <f>SUMIFS(FeederMaster!F:F,FeederMaster!E:E,Sheet1!D85)</f>
        <v>279</v>
      </c>
      <c r="H85">
        <f t="shared" si="1"/>
        <v>0.79863481228668942</v>
      </c>
    </row>
    <row r="86" spans="1:8" ht="15" thickBot="1" x14ac:dyDescent="0.4">
      <c r="A86" s="6" t="s">
        <v>29</v>
      </c>
      <c r="B86" s="7" t="s">
        <v>178</v>
      </c>
      <c r="C86" s="7" t="s">
        <v>232</v>
      </c>
      <c r="D86" s="7" t="s">
        <v>233</v>
      </c>
      <c r="E86" s="13">
        <v>468</v>
      </c>
      <c r="F86" s="9">
        <v>374.4</v>
      </c>
      <c r="G86">
        <f>SUMIFS(FeederMaster!F:F,FeederMaster!E:E,Sheet1!D86)</f>
        <v>444</v>
      </c>
      <c r="H86">
        <f t="shared" si="1"/>
        <v>0.79999999999999993</v>
      </c>
    </row>
    <row r="87" spans="1:8" ht="15" thickBot="1" x14ac:dyDescent="0.4">
      <c r="A87" s="6" t="s">
        <v>24</v>
      </c>
      <c r="B87" s="7" t="s">
        <v>170</v>
      </c>
      <c r="C87" s="7" t="s">
        <v>194</v>
      </c>
      <c r="D87" s="7" t="s">
        <v>229</v>
      </c>
      <c r="E87" s="9">
        <v>189</v>
      </c>
      <c r="F87" s="9">
        <v>151.19999999999999</v>
      </c>
      <c r="G87">
        <f>SUMIFS(FeederMaster!F:F,FeederMaster!E:E,Sheet1!D87)</f>
        <v>179</v>
      </c>
      <c r="H87">
        <f t="shared" si="1"/>
        <v>0.79999999999999993</v>
      </c>
    </row>
    <row r="88" spans="1:8" ht="15" thickBot="1" x14ac:dyDescent="0.4">
      <c r="A88" s="10" t="s">
        <v>24</v>
      </c>
      <c r="B88" s="11" t="s">
        <v>170</v>
      </c>
      <c r="C88" s="11" t="s">
        <v>194</v>
      </c>
      <c r="D88" s="11" t="s">
        <v>195</v>
      </c>
      <c r="E88" s="8">
        <v>468</v>
      </c>
      <c r="F88" s="9">
        <v>374.4</v>
      </c>
      <c r="G88">
        <f>SUMIFS(FeederMaster!F:F,FeederMaster!E:E,Sheet1!D88)</f>
        <v>444</v>
      </c>
      <c r="H88">
        <f t="shared" si="1"/>
        <v>0.79999999999999993</v>
      </c>
    </row>
    <row r="89" spans="1:8" ht="15" thickBot="1" x14ac:dyDescent="0.4">
      <c r="A89" s="6" t="s">
        <v>24</v>
      </c>
      <c r="B89" s="7" t="s">
        <v>170</v>
      </c>
      <c r="C89" s="7" t="s">
        <v>194</v>
      </c>
      <c r="D89" s="7" t="s">
        <v>203</v>
      </c>
      <c r="E89" s="8">
        <v>468</v>
      </c>
      <c r="F89" s="9">
        <v>374.4</v>
      </c>
      <c r="G89">
        <f>SUMIFS(FeederMaster!F:F,FeederMaster!E:E,Sheet1!D89)</f>
        <v>444</v>
      </c>
      <c r="H89">
        <f t="shared" si="1"/>
        <v>0.79999999999999993</v>
      </c>
    </row>
    <row r="90" spans="1:8" ht="15" thickBot="1" x14ac:dyDescent="0.4">
      <c r="A90" s="6" t="s">
        <v>24</v>
      </c>
      <c r="B90" s="7" t="s">
        <v>170</v>
      </c>
      <c r="C90" s="7" t="s">
        <v>182</v>
      </c>
      <c r="D90" s="7" t="s">
        <v>184</v>
      </c>
      <c r="E90" s="9">
        <v>300</v>
      </c>
      <c r="F90" s="9">
        <v>240</v>
      </c>
      <c r="G90">
        <f>SUMIFS(FeederMaster!F:F,FeederMaster!E:E,Sheet1!D90)</f>
        <v>285</v>
      </c>
      <c r="H90">
        <f t="shared" si="1"/>
        <v>0.8</v>
      </c>
    </row>
    <row r="91" spans="1:8" ht="15" thickBot="1" x14ac:dyDescent="0.4">
      <c r="A91" s="10" t="s">
        <v>24</v>
      </c>
      <c r="B91" s="11" t="s">
        <v>170</v>
      </c>
      <c r="C91" s="11" t="s">
        <v>182</v>
      </c>
      <c r="D91" s="11" t="s">
        <v>196</v>
      </c>
      <c r="E91" s="9">
        <v>300</v>
      </c>
      <c r="F91" s="9">
        <v>240</v>
      </c>
      <c r="G91">
        <f>SUMIFS(FeederMaster!F:F,FeederMaster!E:E,Sheet1!D91)</f>
        <v>285</v>
      </c>
      <c r="H91">
        <f t="shared" si="1"/>
        <v>0.8</v>
      </c>
    </row>
    <row r="92" spans="1:8" ht="15" thickBot="1" x14ac:dyDescent="0.4">
      <c r="A92" s="6" t="s">
        <v>24</v>
      </c>
      <c r="B92" s="7" t="s">
        <v>170</v>
      </c>
      <c r="C92" s="7" t="s">
        <v>182</v>
      </c>
      <c r="D92" s="7" t="s">
        <v>183</v>
      </c>
      <c r="E92" s="9">
        <v>300</v>
      </c>
      <c r="F92" s="9">
        <v>240</v>
      </c>
      <c r="G92">
        <f>SUMIFS(FeederMaster!F:F,FeederMaster!E:E,Sheet1!D92)</f>
        <v>285</v>
      </c>
      <c r="H92">
        <f t="shared" si="1"/>
        <v>0.8</v>
      </c>
    </row>
    <row r="93" spans="1:8" ht="15" thickBot="1" x14ac:dyDescent="0.4">
      <c r="A93" s="10" t="s">
        <v>24</v>
      </c>
      <c r="B93" s="11" t="s">
        <v>170</v>
      </c>
      <c r="C93" s="11" t="s">
        <v>182</v>
      </c>
      <c r="D93" s="11" t="s">
        <v>185</v>
      </c>
      <c r="E93" s="9">
        <v>293</v>
      </c>
      <c r="F93" s="9">
        <v>234</v>
      </c>
      <c r="G93">
        <f>SUMIFS(FeederMaster!F:F,FeederMaster!E:E,Sheet1!D93)</f>
        <v>279</v>
      </c>
      <c r="H93">
        <f t="shared" si="1"/>
        <v>0.79863481228668942</v>
      </c>
    </row>
    <row r="94" spans="1:8" ht="15" thickBot="1" x14ac:dyDescent="0.4">
      <c r="A94" s="10" t="s">
        <v>24</v>
      </c>
      <c r="B94" s="11" t="s">
        <v>170</v>
      </c>
      <c r="C94" s="11" t="s">
        <v>199</v>
      </c>
      <c r="D94" s="11" t="s">
        <v>209</v>
      </c>
      <c r="E94" s="9">
        <v>300</v>
      </c>
      <c r="F94" s="9">
        <v>240</v>
      </c>
      <c r="G94">
        <f>SUMIFS(FeederMaster!F:F,FeederMaster!E:E,Sheet1!D94)</f>
        <v>285</v>
      </c>
      <c r="H94">
        <f t="shared" si="1"/>
        <v>0.8</v>
      </c>
    </row>
    <row r="95" spans="1:8" ht="15" thickBot="1" x14ac:dyDescent="0.4">
      <c r="A95" s="6" t="s">
        <v>24</v>
      </c>
      <c r="B95" s="7" t="s">
        <v>170</v>
      </c>
      <c r="C95" s="7" t="s">
        <v>199</v>
      </c>
      <c r="D95" s="7" t="s">
        <v>221</v>
      </c>
      <c r="E95" s="9">
        <v>300</v>
      </c>
      <c r="F95" s="9">
        <v>240</v>
      </c>
      <c r="G95">
        <f>SUMIFS(FeederMaster!F:F,FeederMaster!E:E,Sheet1!D95)</f>
        <v>285</v>
      </c>
      <c r="H95">
        <f t="shared" si="1"/>
        <v>0.8</v>
      </c>
    </row>
    <row r="96" spans="1:8" ht="15" thickBot="1" x14ac:dyDescent="0.4">
      <c r="A96" s="10" t="s">
        <v>24</v>
      </c>
      <c r="B96" s="11" t="s">
        <v>170</v>
      </c>
      <c r="C96" s="11" t="s">
        <v>199</v>
      </c>
      <c r="D96" s="11" t="s">
        <v>200</v>
      </c>
      <c r="E96" s="9">
        <v>300</v>
      </c>
      <c r="F96" s="9">
        <v>240</v>
      </c>
      <c r="G96">
        <f>SUMIFS(FeederMaster!F:F,FeederMaster!E:E,Sheet1!D96)</f>
        <v>285</v>
      </c>
      <c r="H96">
        <f t="shared" si="1"/>
        <v>0.8</v>
      </c>
    </row>
    <row r="97" spans="1:8" ht="15" thickBot="1" x14ac:dyDescent="0.4">
      <c r="A97" s="6" t="s">
        <v>24</v>
      </c>
      <c r="B97" s="7" t="s">
        <v>170</v>
      </c>
      <c r="C97" s="7" t="s">
        <v>199</v>
      </c>
      <c r="D97" s="7" t="s">
        <v>235</v>
      </c>
      <c r="E97" s="9">
        <v>293</v>
      </c>
      <c r="F97" s="9">
        <v>234</v>
      </c>
      <c r="G97">
        <f>SUMIFS(FeederMaster!F:F,FeederMaster!E:E,Sheet1!D97)</f>
        <v>279</v>
      </c>
      <c r="H97">
        <f t="shared" si="1"/>
        <v>0.79863481228668942</v>
      </c>
    </row>
    <row r="98" spans="1:8" ht="15" thickBot="1" x14ac:dyDescent="0.4">
      <c r="A98" s="6" t="s">
        <v>24</v>
      </c>
      <c r="B98" s="7" t="s">
        <v>25</v>
      </c>
      <c r="C98" s="7" t="s">
        <v>243</v>
      </c>
      <c r="D98" s="7" t="s">
        <v>244</v>
      </c>
      <c r="E98" s="9">
        <v>468</v>
      </c>
      <c r="F98" s="9">
        <v>374.4</v>
      </c>
      <c r="G98">
        <f>SUMIFS(FeederMaster!F:F,FeederMaster!E:E,Sheet1!D98)</f>
        <v>444</v>
      </c>
      <c r="H98">
        <f t="shared" si="1"/>
        <v>0.79999999999999993</v>
      </c>
    </row>
    <row r="99" spans="1:8" ht="15" thickBot="1" x14ac:dyDescent="0.4">
      <c r="A99" s="10" t="s">
        <v>24</v>
      </c>
      <c r="B99" s="11" t="s">
        <v>25</v>
      </c>
      <c r="C99" s="11" t="s">
        <v>243</v>
      </c>
      <c r="D99" s="11" t="s">
        <v>246</v>
      </c>
      <c r="E99" s="9">
        <v>432</v>
      </c>
      <c r="F99" s="9">
        <v>345.6</v>
      </c>
      <c r="G99">
        <f>SUMIFS(FeederMaster!F:F,FeederMaster!E:E,Sheet1!D99)</f>
        <v>411</v>
      </c>
      <c r="H99">
        <f t="shared" si="1"/>
        <v>0.8</v>
      </c>
    </row>
    <row r="100" spans="1:8" ht="15" thickBot="1" x14ac:dyDescent="0.4">
      <c r="A100" s="6" t="s">
        <v>24</v>
      </c>
      <c r="B100" s="7" t="s">
        <v>25</v>
      </c>
      <c r="C100" s="7" t="s">
        <v>243</v>
      </c>
      <c r="D100" s="7" t="s">
        <v>245</v>
      </c>
      <c r="E100" s="9">
        <v>468</v>
      </c>
      <c r="F100" s="9">
        <v>374.4</v>
      </c>
      <c r="G100">
        <f>SUMIFS(FeederMaster!F:F,FeederMaster!E:E,Sheet1!D100)</f>
        <v>444</v>
      </c>
      <c r="H100">
        <f t="shared" si="1"/>
        <v>0.79999999999999993</v>
      </c>
    </row>
    <row r="101" spans="1:8" ht="15" thickBot="1" x14ac:dyDescent="0.4">
      <c r="A101" s="10" t="s">
        <v>24</v>
      </c>
      <c r="B101" s="11" t="s">
        <v>25</v>
      </c>
      <c r="C101" s="11" t="s">
        <v>26</v>
      </c>
      <c r="D101" s="11" t="s">
        <v>294</v>
      </c>
      <c r="E101" s="9">
        <v>300</v>
      </c>
      <c r="F101" s="9">
        <v>240</v>
      </c>
      <c r="G101">
        <f>SUMIFS(FeederMaster!F:F,FeederMaster!E:E,Sheet1!D101)</f>
        <v>285</v>
      </c>
      <c r="H101">
        <f t="shared" si="1"/>
        <v>0.8</v>
      </c>
    </row>
    <row r="102" spans="1:8" ht="15" thickBot="1" x14ac:dyDescent="0.4">
      <c r="A102" s="6" t="s">
        <v>24</v>
      </c>
      <c r="B102" s="7" t="s">
        <v>25</v>
      </c>
      <c r="C102" s="7" t="s">
        <v>26</v>
      </c>
      <c r="D102" s="7" t="s">
        <v>284</v>
      </c>
      <c r="E102" s="9">
        <v>468</v>
      </c>
      <c r="F102" s="9">
        <v>374.4</v>
      </c>
      <c r="G102">
        <f>SUMIFS(FeederMaster!F:F,FeederMaster!E:E,Sheet1!D102)</f>
        <v>444</v>
      </c>
      <c r="H102">
        <f t="shared" si="1"/>
        <v>0.79999999999999993</v>
      </c>
    </row>
    <row r="103" spans="1:8" ht="15" thickBot="1" x14ac:dyDescent="0.4">
      <c r="A103" s="10" t="s">
        <v>24</v>
      </c>
      <c r="B103" s="11" t="s">
        <v>25</v>
      </c>
      <c r="C103" s="11" t="s">
        <v>26</v>
      </c>
      <c r="D103" s="11" t="s">
        <v>332</v>
      </c>
      <c r="E103" s="9">
        <v>300</v>
      </c>
      <c r="F103" s="9">
        <v>240</v>
      </c>
      <c r="G103">
        <f>SUMIFS(FeederMaster!F:F,FeederMaster!E:E,Sheet1!D103)</f>
        <v>0</v>
      </c>
      <c r="H103">
        <f t="shared" si="1"/>
        <v>0.8</v>
      </c>
    </row>
    <row r="104" spans="1:8" ht="15" thickBot="1" x14ac:dyDescent="0.4">
      <c r="A104" s="6" t="s">
        <v>24</v>
      </c>
      <c r="B104" s="7" t="s">
        <v>25</v>
      </c>
      <c r="C104" s="7" t="s">
        <v>204</v>
      </c>
      <c r="D104" s="7" t="s">
        <v>205</v>
      </c>
      <c r="E104" s="9">
        <v>300</v>
      </c>
      <c r="F104" s="9">
        <v>240</v>
      </c>
      <c r="G104">
        <f>SUMIFS(FeederMaster!F:F,FeederMaster!E:E,Sheet1!D104)</f>
        <v>285</v>
      </c>
      <c r="H104">
        <f t="shared" si="1"/>
        <v>0.8</v>
      </c>
    </row>
    <row r="105" spans="1:8" ht="15" thickBot="1" x14ac:dyDescent="0.4">
      <c r="A105" s="10" t="s">
        <v>24</v>
      </c>
      <c r="B105" s="11" t="s">
        <v>25</v>
      </c>
      <c r="C105" s="11" t="s">
        <v>204</v>
      </c>
      <c r="D105" s="11" t="s">
        <v>241</v>
      </c>
      <c r="E105" s="9">
        <v>468</v>
      </c>
      <c r="F105" s="9">
        <v>374.4</v>
      </c>
      <c r="G105">
        <f>SUMIFS(FeederMaster!F:F,FeederMaster!E:E,Sheet1!D105)</f>
        <v>444</v>
      </c>
      <c r="H105">
        <f t="shared" si="1"/>
        <v>0.79999999999999993</v>
      </c>
    </row>
    <row r="106" spans="1:8" ht="15" thickBot="1" x14ac:dyDescent="0.4">
      <c r="A106" s="6" t="s">
        <v>24</v>
      </c>
      <c r="B106" s="7" t="s">
        <v>25</v>
      </c>
      <c r="C106" s="7" t="s">
        <v>204</v>
      </c>
      <c r="D106" s="7" t="s">
        <v>27</v>
      </c>
      <c r="E106" s="9">
        <v>468</v>
      </c>
      <c r="F106" s="9">
        <v>374.4</v>
      </c>
      <c r="G106">
        <f>SUMIFS(FeederMaster!F:F,FeederMaster!E:E,Sheet1!D106)</f>
        <v>444</v>
      </c>
      <c r="H106">
        <f t="shared" si="1"/>
        <v>0.79999999999999993</v>
      </c>
    </row>
    <row r="107" spans="1:8" ht="15" thickBot="1" x14ac:dyDescent="0.4">
      <c r="A107" s="10" t="s">
        <v>24</v>
      </c>
      <c r="B107" s="11" t="s">
        <v>25</v>
      </c>
      <c r="C107" s="11" t="s">
        <v>204</v>
      </c>
      <c r="D107" s="11" t="s">
        <v>257</v>
      </c>
      <c r="E107" s="9">
        <v>468</v>
      </c>
      <c r="F107" s="9">
        <v>374.4</v>
      </c>
      <c r="G107">
        <f>SUMIFS(FeederMaster!F:F,FeederMaster!E:E,Sheet1!D107)</f>
        <v>444</v>
      </c>
      <c r="H107">
        <f t="shared" si="1"/>
        <v>0.79999999999999993</v>
      </c>
    </row>
    <row r="108" spans="1:8" ht="15" thickBot="1" x14ac:dyDescent="0.4">
      <c r="A108" s="10" t="s">
        <v>24</v>
      </c>
      <c r="B108" s="11" t="s">
        <v>173</v>
      </c>
      <c r="C108" s="11" t="s">
        <v>26</v>
      </c>
      <c r="D108" s="11" t="s">
        <v>293</v>
      </c>
      <c r="E108" s="9">
        <v>293</v>
      </c>
      <c r="F108" s="9">
        <v>234</v>
      </c>
      <c r="G108">
        <f>SUMIFS(FeederMaster!F:F,FeederMaster!E:E,Sheet1!D108)</f>
        <v>279</v>
      </c>
      <c r="H108">
        <f t="shared" si="1"/>
        <v>0.79863481228668942</v>
      </c>
    </row>
    <row r="109" spans="1:8" ht="15" thickBot="1" x14ac:dyDescent="0.4">
      <c r="A109" s="6" t="s">
        <v>24</v>
      </c>
      <c r="B109" s="7" t="s">
        <v>173</v>
      </c>
      <c r="C109" s="7" t="s">
        <v>26</v>
      </c>
      <c r="D109" s="7" t="s">
        <v>292</v>
      </c>
      <c r="E109" s="9">
        <v>468</v>
      </c>
      <c r="F109" s="9">
        <v>374.4</v>
      </c>
      <c r="G109">
        <f>SUMIFS(FeederMaster!F:F,FeederMaster!E:E,Sheet1!D109)</f>
        <v>444</v>
      </c>
      <c r="H109">
        <f t="shared" si="1"/>
        <v>0.79999999999999993</v>
      </c>
    </row>
    <row r="110" spans="1:8" ht="15" thickBot="1" x14ac:dyDescent="0.4">
      <c r="A110" s="10" t="s">
        <v>24</v>
      </c>
      <c r="B110" s="11" t="s">
        <v>173</v>
      </c>
      <c r="C110" s="11" t="s">
        <v>26</v>
      </c>
      <c r="D110" s="11" t="s">
        <v>333</v>
      </c>
      <c r="E110" s="9">
        <v>300</v>
      </c>
      <c r="F110" s="9">
        <v>240</v>
      </c>
      <c r="G110">
        <f>SUMIFS(FeederMaster!F:F,FeederMaster!E:E,Sheet1!D110)</f>
        <v>0</v>
      </c>
      <c r="H110">
        <f t="shared" si="1"/>
        <v>0.8</v>
      </c>
    </row>
    <row r="111" spans="1:8" ht="15" thickBot="1" x14ac:dyDescent="0.4">
      <c r="A111" s="6" t="s">
        <v>24</v>
      </c>
      <c r="B111" s="7" t="s">
        <v>173</v>
      </c>
      <c r="C111" s="7" t="s">
        <v>226</v>
      </c>
      <c r="D111" s="7" t="s">
        <v>227</v>
      </c>
      <c r="E111" s="9">
        <v>468</v>
      </c>
      <c r="F111" s="9">
        <v>374.4</v>
      </c>
      <c r="G111">
        <f>SUMIFS(FeederMaster!F:F,FeederMaster!E:E,Sheet1!D111)</f>
        <v>444</v>
      </c>
      <c r="H111">
        <f t="shared" si="1"/>
        <v>0.79999999999999993</v>
      </c>
    </row>
    <row r="112" spans="1:8" ht="15" thickBot="1" x14ac:dyDescent="0.4">
      <c r="A112" s="10" t="s">
        <v>24</v>
      </c>
      <c r="B112" s="11" t="s">
        <v>173</v>
      </c>
      <c r="C112" s="11" t="s">
        <v>226</v>
      </c>
      <c r="D112" s="11" t="s">
        <v>228</v>
      </c>
      <c r="E112" s="9">
        <v>468</v>
      </c>
      <c r="F112" s="9">
        <v>374.4</v>
      </c>
      <c r="G112">
        <f>SUMIFS(FeederMaster!F:F,FeederMaster!E:E,Sheet1!D112)</f>
        <v>444</v>
      </c>
      <c r="H112">
        <f t="shared" si="1"/>
        <v>0.79999999999999993</v>
      </c>
    </row>
    <row r="113" spans="1:8" ht="15" thickBot="1" x14ac:dyDescent="0.4">
      <c r="A113" s="10" t="s">
        <v>24</v>
      </c>
      <c r="B113" s="11" t="s">
        <v>173</v>
      </c>
      <c r="C113" s="11" t="s">
        <v>300</v>
      </c>
      <c r="D113" s="11" t="s">
        <v>303</v>
      </c>
      <c r="E113" s="9">
        <v>468</v>
      </c>
      <c r="F113" s="9">
        <v>374.4</v>
      </c>
      <c r="G113">
        <f>SUMIFS(FeederMaster!F:F,FeederMaster!E:E,Sheet1!D113)</f>
        <v>444</v>
      </c>
      <c r="H113">
        <f t="shared" si="1"/>
        <v>0.79999999999999993</v>
      </c>
    </row>
    <row r="114" spans="1:8" ht="15" thickBot="1" x14ac:dyDescent="0.4">
      <c r="A114" s="6" t="s">
        <v>24</v>
      </c>
      <c r="B114" s="7" t="s">
        <v>173</v>
      </c>
      <c r="C114" s="7" t="s">
        <v>300</v>
      </c>
      <c r="D114" s="7" t="s">
        <v>302</v>
      </c>
      <c r="E114" s="9">
        <v>468</v>
      </c>
      <c r="F114" s="9">
        <v>374.4</v>
      </c>
      <c r="G114">
        <f>SUMIFS(FeederMaster!F:F,FeederMaster!E:E,Sheet1!D114)</f>
        <v>444</v>
      </c>
      <c r="H114">
        <f t="shared" si="1"/>
        <v>0.79999999999999993</v>
      </c>
    </row>
    <row r="115" spans="1:8" ht="15" thickBot="1" x14ac:dyDescent="0.4">
      <c r="A115" s="10" t="s">
        <v>24</v>
      </c>
      <c r="B115" s="11" t="s">
        <v>173</v>
      </c>
      <c r="C115" s="11" t="s">
        <v>300</v>
      </c>
      <c r="D115" s="11" t="s">
        <v>301</v>
      </c>
      <c r="E115" s="9">
        <v>468</v>
      </c>
      <c r="F115" s="9">
        <v>374.4</v>
      </c>
      <c r="G115">
        <f>SUMIFS(FeederMaster!F:F,FeederMaster!E:E,Sheet1!D115)</f>
        <v>444</v>
      </c>
      <c r="H115">
        <f t="shared" si="1"/>
        <v>0.79999999999999993</v>
      </c>
    </row>
    <row r="116" spans="1:8" ht="15" thickBot="1" x14ac:dyDescent="0.4">
      <c r="A116" s="6" t="s">
        <v>24</v>
      </c>
      <c r="B116" s="7" t="s">
        <v>173</v>
      </c>
      <c r="C116" s="7" t="s">
        <v>197</v>
      </c>
      <c r="D116" s="7" t="s">
        <v>214</v>
      </c>
      <c r="E116" s="9">
        <v>300</v>
      </c>
      <c r="F116" s="9">
        <v>240</v>
      </c>
      <c r="G116">
        <f>SUMIFS(FeederMaster!F:F,FeederMaster!E:E,Sheet1!D116)</f>
        <v>106</v>
      </c>
      <c r="H116">
        <f t="shared" si="1"/>
        <v>0.8</v>
      </c>
    </row>
    <row r="117" spans="1:8" ht="15" thickBot="1" x14ac:dyDescent="0.4">
      <c r="A117" s="10" t="s">
        <v>24</v>
      </c>
      <c r="B117" s="11" t="s">
        <v>173</v>
      </c>
      <c r="C117" s="11" t="s">
        <v>197</v>
      </c>
      <c r="D117" s="11" t="s">
        <v>208</v>
      </c>
      <c r="E117" s="9">
        <v>468</v>
      </c>
      <c r="F117" s="9">
        <v>374.4</v>
      </c>
      <c r="G117">
        <f>SUMIFS(FeederMaster!F:F,FeederMaster!E:E,Sheet1!D117)</f>
        <v>444</v>
      </c>
      <c r="H117">
        <f t="shared" si="1"/>
        <v>0.79999999999999993</v>
      </c>
    </row>
    <row r="118" spans="1:8" ht="15" thickBot="1" x14ac:dyDescent="0.4">
      <c r="A118" s="6" t="s">
        <v>24</v>
      </c>
      <c r="B118" s="7" t="s">
        <v>173</v>
      </c>
      <c r="C118" s="7" t="s">
        <v>197</v>
      </c>
      <c r="D118" s="7" t="s">
        <v>219</v>
      </c>
      <c r="E118" s="9">
        <v>468</v>
      </c>
      <c r="F118" s="9">
        <v>374.4</v>
      </c>
      <c r="G118">
        <f>SUMIFS(FeederMaster!F:F,FeederMaster!E:E,Sheet1!D118)</f>
        <v>444</v>
      </c>
      <c r="H118">
        <f t="shared" si="1"/>
        <v>0.79999999999999993</v>
      </c>
    </row>
    <row r="119" spans="1:8" ht="15" thickBot="1" x14ac:dyDescent="0.4">
      <c r="A119" s="10" t="s">
        <v>24</v>
      </c>
      <c r="B119" s="11" t="s">
        <v>173</v>
      </c>
      <c r="C119" s="11" t="s">
        <v>197</v>
      </c>
      <c r="D119" s="11" t="s">
        <v>198</v>
      </c>
      <c r="E119" s="9">
        <v>468</v>
      </c>
      <c r="F119" s="9">
        <v>374.4</v>
      </c>
      <c r="G119">
        <f>SUMIFS(FeederMaster!F:F,FeederMaster!E:E,Sheet1!D119)</f>
        <v>444</v>
      </c>
      <c r="H119">
        <f t="shared" si="1"/>
        <v>0.79999999999999993</v>
      </c>
    </row>
    <row r="120" spans="1:8" x14ac:dyDescent="0.35">
      <c r="A120" s="3"/>
    </row>
    <row r="121" spans="1:8" x14ac:dyDescent="0.35">
      <c r="A12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FeederMaster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Adhikary</cp:lastModifiedBy>
  <dcterms:created xsi:type="dcterms:W3CDTF">2026-06-07T12:27:16Z</dcterms:created>
  <dcterms:modified xsi:type="dcterms:W3CDTF">2026-06-11T00:54:08Z</dcterms:modified>
</cp:coreProperties>
</file>